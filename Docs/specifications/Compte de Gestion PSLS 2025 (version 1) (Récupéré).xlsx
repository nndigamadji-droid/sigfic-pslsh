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
    </mc:Choice>
  </mc:AlternateContent>
  <bookViews>
    <workbookView xWindow="-120" yWindow="-120" windowWidth="29040" windowHeight="15720"/>
  </bookViews>
  <sheets>
    <sheet name="Journal PSLS" sheetId="1" r:id="rId1"/>
    <sheet name="Etat RAP" sheetId="2" r:id="rId2"/>
    <sheet name="Compte OP" sheetId="3" r:id="rId3"/>
    <sheet name="Imputation" sheetId="7" r:id="rId4"/>
    <sheet name="Suivi Budget" sheetId="4" r:id="rId5"/>
    <sheet name="Rapport Financier" sheetId="5" r:id="rId6"/>
    <sheet name="ARV" sheetId="6" r:id="rId7"/>
    <sheet name="Feuil1" sheetId="8" r:id="rId8"/>
  </sheets>
  <definedNames>
    <definedName name="_xlnm._FilterDatabase" localSheetId="3" hidden="1">Imputation!$E$3:$E$61</definedName>
  </definedNames>
  <calcPr calcId="152511" concurrentCalc="0"/>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8" i="8" l="1"/>
  <c r="F17" i="8"/>
  <c r="F16" i="8"/>
  <c r="F15" i="8"/>
  <c r="F14" i="8"/>
  <c r="F13" i="8"/>
  <c r="F12" i="8"/>
  <c r="F11" i="8"/>
  <c r="F10" i="8"/>
  <c r="F9" i="8"/>
  <c r="F8" i="8"/>
  <c r="F7" i="8"/>
  <c r="F6" i="8"/>
  <c r="F5" i="8"/>
  <c r="F4" i="8"/>
  <c r="F3" i="8"/>
  <c r="F10" i="6"/>
  <c r="H9" i="6"/>
  <c r="G9" i="6"/>
  <c r="F9" i="6"/>
  <c r="H8" i="6"/>
  <c r="H7" i="6"/>
  <c r="H6" i="6"/>
  <c r="H5" i="6"/>
  <c r="H4" i="6"/>
  <c r="H3" i="6"/>
  <c r="F80" i="5"/>
  <c r="E80" i="5"/>
  <c r="D80" i="5"/>
  <c r="C80" i="5"/>
  <c r="F79" i="5"/>
  <c r="E79" i="5"/>
  <c r="D79" i="5"/>
  <c r="F76" i="5"/>
  <c r="E76" i="5"/>
  <c r="F75" i="5"/>
  <c r="E75" i="5"/>
  <c r="D75" i="5"/>
  <c r="C75" i="5"/>
  <c r="F72" i="5"/>
  <c r="E72" i="5"/>
  <c r="F69" i="5"/>
  <c r="E69" i="5"/>
  <c r="D69" i="5"/>
  <c r="F65" i="5"/>
  <c r="E65" i="5"/>
  <c r="D65" i="5"/>
  <c r="F60" i="5"/>
  <c r="E60" i="5"/>
  <c r="D60" i="5"/>
  <c r="F59" i="5"/>
  <c r="E59" i="5"/>
  <c r="D59" i="5"/>
  <c r="F56" i="5"/>
  <c r="E56" i="5"/>
  <c r="F51" i="5"/>
  <c r="E51" i="5"/>
  <c r="D51" i="5"/>
  <c r="F47" i="5"/>
  <c r="E47" i="5"/>
  <c r="D47" i="5"/>
  <c r="F46" i="5"/>
  <c r="E46" i="5"/>
  <c r="D46" i="5"/>
  <c r="C46" i="5"/>
  <c r="F45" i="5"/>
  <c r="E45" i="5"/>
  <c r="D45" i="5"/>
  <c r="F44" i="5"/>
  <c r="E44" i="5"/>
  <c r="D44" i="5"/>
  <c r="F43" i="5"/>
  <c r="E43" i="5"/>
  <c r="D43" i="5"/>
  <c r="C43" i="5"/>
  <c r="F41" i="5"/>
  <c r="E41" i="5"/>
  <c r="F40" i="5"/>
  <c r="E40" i="5"/>
  <c r="D40" i="5"/>
  <c r="F39" i="5"/>
  <c r="E39" i="5"/>
  <c r="D39" i="5"/>
  <c r="F38" i="5"/>
  <c r="E38" i="5"/>
  <c r="D38" i="5"/>
  <c r="C38" i="5"/>
  <c r="F35" i="5"/>
  <c r="E35" i="5"/>
  <c r="F34" i="5"/>
  <c r="E34" i="5"/>
  <c r="D34" i="5"/>
  <c r="F33" i="5"/>
  <c r="E33" i="5"/>
  <c r="D33" i="5"/>
  <c r="C33" i="5"/>
  <c r="F30" i="5"/>
  <c r="E30" i="5"/>
  <c r="F29" i="5"/>
  <c r="E29" i="5"/>
  <c r="D29" i="5"/>
  <c r="F28" i="5"/>
  <c r="E28" i="5"/>
  <c r="D28" i="5"/>
  <c r="F27" i="5"/>
  <c r="E27" i="5"/>
  <c r="D27" i="5"/>
  <c r="F26" i="5"/>
  <c r="E26" i="5"/>
  <c r="D26" i="5"/>
  <c r="F25" i="5"/>
  <c r="E25" i="5"/>
  <c r="D25" i="5"/>
  <c r="F24" i="5"/>
  <c r="E24" i="5"/>
  <c r="D24" i="5"/>
  <c r="F23" i="5"/>
  <c r="E23" i="5"/>
  <c r="D23" i="5"/>
  <c r="F22" i="5"/>
  <c r="E22" i="5"/>
  <c r="D22" i="5"/>
  <c r="C22" i="5"/>
  <c r="F18" i="5"/>
  <c r="E18" i="5"/>
  <c r="D18" i="5"/>
  <c r="C18" i="5"/>
  <c r="F17" i="5"/>
  <c r="E17" i="5"/>
  <c r="F16" i="5"/>
  <c r="E16" i="5"/>
  <c r="E12" i="5"/>
  <c r="D12" i="5"/>
  <c r="E11" i="5"/>
  <c r="E10" i="5"/>
  <c r="E9" i="5"/>
  <c r="E8" i="5"/>
  <c r="E7" i="5"/>
  <c r="E6" i="5"/>
  <c r="F3" i="5"/>
  <c r="E3" i="5"/>
  <c r="O249" i="4"/>
  <c r="N249" i="4"/>
  <c r="C249" i="4"/>
  <c r="O248" i="4"/>
  <c r="N248" i="4"/>
  <c r="O247" i="4"/>
  <c r="N247" i="4"/>
  <c r="O246" i="4"/>
  <c r="N246" i="4"/>
  <c r="O245" i="4"/>
  <c r="N245" i="4"/>
  <c r="O244" i="4"/>
  <c r="N244" i="4"/>
  <c r="O243" i="4"/>
  <c r="N243" i="4"/>
  <c r="O242" i="4"/>
  <c r="N242" i="4"/>
  <c r="O241" i="4"/>
  <c r="N241" i="4"/>
  <c r="O240" i="4"/>
  <c r="N240" i="4"/>
  <c r="O239" i="4"/>
  <c r="N239" i="4"/>
  <c r="O238" i="4"/>
  <c r="N238" i="4"/>
  <c r="O237" i="4"/>
  <c r="N237" i="4"/>
  <c r="O236" i="4"/>
  <c r="N236" i="4"/>
  <c r="O235" i="4"/>
  <c r="N235" i="4"/>
  <c r="O234" i="4"/>
  <c r="N234" i="4"/>
  <c r="O233" i="4"/>
  <c r="N233" i="4"/>
  <c r="O232" i="4"/>
  <c r="N232" i="4"/>
  <c r="O231" i="4"/>
  <c r="N231" i="4"/>
  <c r="O230" i="4"/>
  <c r="N230" i="4"/>
  <c r="O229" i="4"/>
  <c r="N229" i="4"/>
  <c r="O228" i="4"/>
  <c r="N228" i="4"/>
  <c r="O227" i="4"/>
  <c r="N227" i="4"/>
  <c r="O226" i="4"/>
  <c r="N226" i="4"/>
  <c r="O225" i="4"/>
  <c r="N225" i="4"/>
  <c r="O224" i="4"/>
  <c r="N224" i="4"/>
  <c r="O223" i="4"/>
  <c r="N223" i="4"/>
  <c r="O222" i="4"/>
  <c r="N222" i="4"/>
  <c r="O221" i="4"/>
  <c r="N221" i="4"/>
  <c r="O220" i="4"/>
  <c r="N220" i="4"/>
  <c r="O219" i="4"/>
  <c r="N219" i="4"/>
  <c r="O218" i="4"/>
  <c r="N218" i="4"/>
  <c r="O217" i="4"/>
  <c r="N217" i="4"/>
  <c r="O216" i="4"/>
  <c r="N216" i="4"/>
  <c r="O215" i="4"/>
  <c r="N215" i="4"/>
  <c r="O214" i="4"/>
  <c r="N214" i="4"/>
  <c r="C214" i="4"/>
  <c r="O213" i="4"/>
  <c r="N213" i="4"/>
  <c r="O212" i="4"/>
  <c r="N212" i="4"/>
  <c r="O211" i="4"/>
  <c r="N211" i="4"/>
  <c r="O210" i="4"/>
  <c r="N210" i="4"/>
  <c r="O209" i="4"/>
  <c r="N209" i="4"/>
  <c r="O208" i="4"/>
  <c r="N208" i="4"/>
  <c r="O207" i="4"/>
  <c r="N207" i="4"/>
  <c r="C207" i="4"/>
  <c r="O206" i="4"/>
  <c r="N206" i="4"/>
  <c r="O205" i="4"/>
  <c r="N205" i="4"/>
  <c r="O204" i="4"/>
  <c r="N204" i="4"/>
  <c r="O203" i="4"/>
  <c r="N203" i="4"/>
  <c r="O202" i="4"/>
  <c r="N202" i="4"/>
  <c r="O201" i="4"/>
  <c r="N201" i="4"/>
  <c r="O200" i="4"/>
  <c r="N200" i="4"/>
  <c r="O199" i="4"/>
  <c r="N199" i="4"/>
  <c r="C199" i="4"/>
  <c r="O198" i="4"/>
  <c r="N198" i="4"/>
  <c r="O197" i="4"/>
  <c r="N197" i="4"/>
  <c r="O196" i="4"/>
  <c r="N196" i="4"/>
  <c r="O195" i="4"/>
  <c r="N195" i="4"/>
  <c r="O194" i="4"/>
  <c r="N194" i="4"/>
  <c r="C194" i="4"/>
  <c r="O193" i="4"/>
  <c r="N193" i="4"/>
  <c r="O192" i="4"/>
  <c r="N192" i="4"/>
  <c r="O191" i="4"/>
  <c r="N191" i="4"/>
  <c r="O190" i="4"/>
  <c r="N190" i="4"/>
  <c r="O189" i="4"/>
  <c r="N189" i="4"/>
  <c r="O188" i="4"/>
  <c r="N188" i="4"/>
  <c r="O187" i="4"/>
  <c r="N187" i="4"/>
  <c r="O186" i="4"/>
  <c r="N186" i="4"/>
  <c r="O185" i="4"/>
  <c r="N185" i="4"/>
  <c r="O184" i="4"/>
  <c r="N184" i="4"/>
  <c r="O183" i="4"/>
  <c r="N183" i="4"/>
  <c r="C183" i="4"/>
  <c r="O182" i="4"/>
  <c r="N182" i="4"/>
  <c r="O181" i="4"/>
  <c r="N181" i="4"/>
  <c r="O180" i="4"/>
  <c r="N180" i="4"/>
  <c r="O179" i="4"/>
  <c r="N179" i="4"/>
  <c r="O178" i="4"/>
  <c r="N178" i="4"/>
  <c r="O177" i="4"/>
  <c r="N177" i="4"/>
  <c r="O176" i="4"/>
  <c r="N176" i="4"/>
  <c r="O175" i="4"/>
  <c r="N175" i="4"/>
  <c r="O174" i="4"/>
  <c r="N174" i="4"/>
  <c r="O173" i="4"/>
  <c r="N173" i="4"/>
  <c r="O172" i="4"/>
  <c r="N172" i="4"/>
  <c r="O171" i="4"/>
  <c r="N171" i="4"/>
  <c r="O170" i="4"/>
  <c r="N170" i="4"/>
  <c r="O169" i="4"/>
  <c r="N169" i="4"/>
  <c r="O168" i="4"/>
  <c r="N168" i="4"/>
  <c r="O167" i="4"/>
  <c r="N167" i="4"/>
  <c r="O166" i="4"/>
  <c r="N166" i="4"/>
  <c r="O165" i="4"/>
  <c r="N165" i="4"/>
  <c r="O164" i="4"/>
  <c r="N164" i="4"/>
  <c r="O163" i="4"/>
  <c r="N163" i="4"/>
  <c r="O162" i="4"/>
  <c r="N162" i="4"/>
  <c r="C162" i="4"/>
  <c r="O161" i="4"/>
  <c r="N161" i="4"/>
  <c r="O160" i="4"/>
  <c r="N160" i="4"/>
  <c r="C160" i="4"/>
  <c r="O159" i="4"/>
  <c r="N159" i="4"/>
  <c r="O158" i="4"/>
  <c r="N158" i="4"/>
  <c r="O157" i="4"/>
  <c r="N157" i="4"/>
  <c r="O156" i="4"/>
  <c r="N156" i="4"/>
  <c r="O155" i="4"/>
  <c r="N155" i="4"/>
  <c r="O154" i="4"/>
  <c r="N154" i="4"/>
  <c r="O153" i="4"/>
  <c r="N153" i="4"/>
  <c r="O152" i="4"/>
  <c r="N152" i="4"/>
  <c r="O151" i="4"/>
  <c r="N151" i="4"/>
  <c r="O150" i="4"/>
  <c r="N150" i="4"/>
  <c r="O149" i="4"/>
  <c r="N149" i="4"/>
  <c r="O148" i="4"/>
  <c r="N148" i="4"/>
  <c r="C148" i="4"/>
  <c r="O147" i="4"/>
  <c r="N147" i="4"/>
  <c r="O146" i="4"/>
  <c r="N146" i="4"/>
  <c r="O145" i="4"/>
  <c r="N145" i="4"/>
  <c r="O144" i="4"/>
  <c r="N144" i="4"/>
  <c r="O143" i="4"/>
  <c r="N143" i="4"/>
  <c r="O142" i="4"/>
  <c r="N142" i="4"/>
  <c r="C142" i="4"/>
  <c r="O141" i="4"/>
  <c r="N141" i="4"/>
  <c r="O140" i="4"/>
  <c r="N140" i="4"/>
  <c r="O139" i="4"/>
  <c r="N139" i="4"/>
  <c r="O138" i="4"/>
  <c r="N138" i="4"/>
  <c r="O137" i="4"/>
  <c r="N137" i="4"/>
  <c r="C137" i="4"/>
  <c r="O136" i="4"/>
  <c r="N136" i="4"/>
  <c r="O135" i="4"/>
  <c r="N135" i="4"/>
  <c r="O134" i="4"/>
  <c r="N134" i="4"/>
  <c r="O133" i="4"/>
  <c r="N133" i="4"/>
  <c r="O132" i="4"/>
  <c r="N132" i="4"/>
  <c r="O131" i="4"/>
  <c r="N131" i="4"/>
  <c r="O130" i="4"/>
  <c r="N130" i="4"/>
  <c r="O129" i="4"/>
  <c r="N129" i="4"/>
  <c r="O128" i="4"/>
  <c r="N128" i="4"/>
  <c r="O127" i="4"/>
  <c r="N127" i="4"/>
  <c r="O126" i="4"/>
  <c r="N126" i="4"/>
  <c r="O125" i="4"/>
  <c r="N125" i="4"/>
  <c r="C125" i="4"/>
  <c r="O124" i="4"/>
  <c r="N124" i="4"/>
  <c r="O123" i="4"/>
  <c r="N123" i="4"/>
  <c r="O122" i="4"/>
  <c r="N122" i="4"/>
  <c r="O121" i="4"/>
  <c r="N121" i="4"/>
  <c r="O120" i="4"/>
  <c r="N120" i="4"/>
  <c r="O119" i="4"/>
  <c r="N119" i="4"/>
  <c r="O118" i="4"/>
  <c r="N118" i="4"/>
  <c r="C118" i="4"/>
  <c r="O117" i="4"/>
  <c r="N117" i="4"/>
  <c r="O116" i="4"/>
  <c r="N116" i="4"/>
  <c r="O115" i="4"/>
  <c r="N115" i="4"/>
  <c r="O114" i="4"/>
  <c r="N114" i="4"/>
  <c r="O113" i="4"/>
  <c r="N113" i="4"/>
  <c r="O112" i="4"/>
  <c r="N112" i="4"/>
  <c r="O111" i="4"/>
  <c r="N111" i="4"/>
  <c r="O110" i="4"/>
  <c r="N110" i="4"/>
  <c r="O109" i="4"/>
  <c r="N109" i="4"/>
  <c r="O108" i="4"/>
  <c r="N108" i="4"/>
  <c r="O107" i="4"/>
  <c r="N107" i="4"/>
  <c r="O106" i="4"/>
  <c r="N106" i="4"/>
  <c r="O105" i="4"/>
  <c r="N105" i="4"/>
  <c r="O104" i="4"/>
  <c r="N104" i="4"/>
  <c r="O103" i="4"/>
  <c r="N103" i="4"/>
  <c r="O102" i="4"/>
  <c r="N102" i="4"/>
  <c r="O101" i="4"/>
  <c r="N101" i="4"/>
  <c r="O100" i="4"/>
  <c r="N100" i="4"/>
  <c r="O99" i="4"/>
  <c r="N99" i="4"/>
  <c r="O98" i="4"/>
  <c r="N98" i="4"/>
  <c r="O97" i="4"/>
  <c r="N97" i="4"/>
  <c r="O96" i="4"/>
  <c r="N96" i="4"/>
  <c r="O95" i="4"/>
  <c r="N95" i="4"/>
  <c r="O94" i="4"/>
  <c r="N94" i="4"/>
  <c r="O93" i="4"/>
  <c r="N93" i="4"/>
  <c r="O92" i="4"/>
  <c r="N92" i="4"/>
  <c r="O91" i="4"/>
  <c r="N91" i="4"/>
  <c r="O90" i="4"/>
  <c r="N90" i="4"/>
  <c r="O89" i="4"/>
  <c r="N89" i="4"/>
  <c r="O88" i="4"/>
  <c r="N88" i="4"/>
  <c r="O87" i="4"/>
  <c r="N87" i="4"/>
  <c r="O86" i="4"/>
  <c r="N86" i="4"/>
  <c r="O85" i="4"/>
  <c r="N85" i="4"/>
  <c r="O84" i="4"/>
  <c r="N84" i="4"/>
  <c r="C84" i="4"/>
  <c r="O83" i="4"/>
  <c r="N83" i="4"/>
  <c r="C83" i="4"/>
  <c r="O82" i="4"/>
  <c r="N82" i="4"/>
  <c r="O81" i="4"/>
  <c r="N81" i="4"/>
  <c r="O80" i="4"/>
  <c r="N80" i="4"/>
  <c r="O79" i="4"/>
  <c r="N79" i="4"/>
  <c r="O78" i="4"/>
  <c r="N78" i="4"/>
  <c r="C78" i="4"/>
  <c r="O77" i="4"/>
  <c r="N77" i="4"/>
  <c r="O76" i="4"/>
  <c r="N76" i="4"/>
  <c r="O75" i="4"/>
  <c r="N75" i="4"/>
  <c r="O74" i="4"/>
  <c r="N74" i="4"/>
  <c r="O73" i="4"/>
  <c r="N73" i="4"/>
  <c r="O72" i="4"/>
  <c r="N72" i="4"/>
  <c r="O71" i="4"/>
  <c r="N71" i="4"/>
  <c r="C71" i="4"/>
  <c r="O70" i="4"/>
  <c r="N70" i="4"/>
  <c r="O69" i="4"/>
  <c r="N69" i="4"/>
  <c r="O68" i="4"/>
  <c r="N68" i="4"/>
  <c r="O67" i="4"/>
  <c r="N67" i="4"/>
  <c r="O66" i="4"/>
  <c r="N66" i="4"/>
  <c r="O65" i="4"/>
  <c r="N65" i="4"/>
  <c r="O64" i="4"/>
  <c r="N64" i="4"/>
  <c r="C64" i="4"/>
  <c r="O63" i="4"/>
  <c r="N63" i="4"/>
  <c r="O62" i="4"/>
  <c r="N62" i="4"/>
  <c r="N61" i="4"/>
  <c r="O60" i="4"/>
  <c r="N60" i="4"/>
  <c r="O59" i="4"/>
  <c r="N59" i="4"/>
  <c r="O58" i="4"/>
  <c r="N58" i="4"/>
  <c r="O57" i="4"/>
  <c r="N57" i="4"/>
  <c r="O56" i="4"/>
  <c r="N56" i="4"/>
  <c r="O55" i="4"/>
  <c r="N55" i="4"/>
  <c r="O54" i="4"/>
  <c r="N54" i="4"/>
  <c r="O53" i="4"/>
  <c r="N53" i="4"/>
  <c r="O52" i="4"/>
  <c r="N52" i="4"/>
  <c r="C52" i="4"/>
  <c r="O51" i="4"/>
  <c r="N51" i="4"/>
  <c r="O50" i="4"/>
  <c r="N50" i="4"/>
  <c r="O49" i="4"/>
  <c r="N49" i="4"/>
  <c r="O48" i="4"/>
  <c r="N48" i="4"/>
  <c r="O47" i="4"/>
  <c r="N47" i="4"/>
  <c r="O46" i="4"/>
  <c r="N46" i="4"/>
  <c r="O45" i="4"/>
  <c r="N45" i="4"/>
  <c r="O44" i="4"/>
  <c r="N44" i="4"/>
  <c r="O43" i="4"/>
  <c r="N43" i="4"/>
  <c r="O42" i="4"/>
  <c r="N42" i="4"/>
  <c r="O41" i="4"/>
  <c r="N41" i="4"/>
  <c r="O40" i="4"/>
  <c r="N40" i="4"/>
  <c r="C40" i="4"/>
  <c r="O39" i="4"/>
  <c r="N39" i="4"/>
  <c r="O38" i="4"/>
  <c r="N38" i="4"/>
  <c r="O37" i="4"/>
  <c r="N37" i="4"/>
  <c r="O36" i="4"/>
  <c r="N36" i="4"/>
  <c r="O35" i="4"/>
  <c r="N35" i="4"/>
  <c r="O34" i="4"/>
  <c r="N34" i="4"/>
  <c r="O33" i="4"/>
  <c r="N33" i="4"/>
  <c r="O32" i="4"/>
  <c r="N32" i="4"/>
  <c r="O31" i="4"/>
  <c r="N31" i="4"/>
  <c r="O30" i="4"/>
  <c r="N30" i="4"/>
  <c r="C30" i="4"/>
  <c r="O29" i="4"/>
  <c r="N29" i="4"/>
  <c r="O28" i="4"/>
  <c r="N28" i="4"/>
  <c r="O27" i="4"/>
  <c r="N27" i="4"/>
  <c r="O26" i="4"/>
  <c r="N26" i="4"/>
  <c r="O25" i="4"/>
  <c r="N25" i="4"/>
  <c r="O24" i="4"/>
  <c r="N24" i="4"/>
  <c r="O23" i="4"/>
  <c r="N23" i="4"/>
  <c r="O22" i="4"/>
  <c r="N22" i="4"/>
  <c r="O21" i="4"/>
  <c r="N21" i="4"/>
  <c r="O20" i="4"/>
  <c r="N20" i="4"/>
  <c r="C20" i="4"/>
  <c r="O19" i="4"/>
  <c r="N19" i="4"/>
  <c r="O18" i="4"/>
  <c r="N18" i="4"/>
  <c r="O17" i="4"/>
  <c r="N17" i="4"/>
  <c r="O16" i="4"/>
  <c r="N16" i="4"/>
  <c r="O15" i="4"/>
  <c r="N15" i="4"/>
  <c r="O14" i="4"/>
  <c r="N14" i="4"/>
  <c r="O13" i="4"/>
  <c r="N13" i="4"/>
  <c r="O12" i="4"/>
  <c r="N12" i="4"/>
  <c r="O11" i="4"/>
  <c r="N11" i="4"/>
  <c r="C11" i="4"/>
  <c r="O10" i="4"/>
  <c r="N10" i="4"/>
  <c r="O9" i="4"/>
  <c r="N9" i="4"/>
  <c r="O8" i="4"/>
  <c r="N8" i="4"/>
  <c r="O7" i="4"/>
  <c r="N7" i="4"/>
  <c r="O6" i="4"/>
  <c r="N6" i="4"/>
  <c r="O5" i="4"/>
  <c r="N5" i="4"/>
  <c r="C5" i="4"/>
  <c r="O4" i="4"/>
  <c r="N4" i="4"/>
  <c r="C4" i="4"/>
  <c r="F448" i="3"/>
  <c r="H447" i="3"/>
  <c r="G447" i="3"/>
  <c r="F447" i="3"/>
  <c r="H446" i="3"/>
  <c r="H445" i="3"/>
  <c r="H444" i="3"/>
  <c r="H443" i="3"/>
  <c r="F423" i="3"/>
  <c r="H422" i="3"/>
  <c r="G422" i="3"/>
  <c r="F422" i="3"/>
  <c r="H421" i="3"/>
  <c r="H420" i="3"/>
  <c r="H419" i="3"/>
  <c r="H418" i="3"/>
  <c r="H417" i="3"/>
  <c r="H416" i="3"/>
  <c r="F382" i="3"/>
  <c r="H381" i="3"/>
  <c r="G381" i="3"/>
  <c r="F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F323" i="3"/>
  <c r="H322" i="3"/>
  <c r="G322" i="3"/>
  <c r="F322" i="3"/>
  <c r="H321" i="3"/>
  <c r="H320" i="3"/>
  <c r="H319" i="3"/>
  <c r="H318" i="3"/>
  <c r="H317" i="3"/>
  <c r="H316" i="3"/>
  <c r="H315" i="3"/>
  <c r="H314" i="3"/>
  <c r="H313" i="3"/>
  <c r="H312" i="3"/>
  <c r="H311" i="3"/>
  <c r="H310" i="3"/>
  <c r="H309" i="3"/>
  <c r="F280" i="3"/>
  <c r="H279" i="3"/>
  <c r="G279" i="3"/>
  <c r="F279" i="3"/>
  <c r="H278" i="3"/>
  <c r="H277" i="3"/>
  <c r="H276" i="3"/>
  <c r="H275" i="3"/>
  <c r="H274" i="3"/>
  <c r="H273" i="3"/>
  <c r="H272" i="3"/>
  <c r="H271" i="3"/>
  <c r="H270" i="3"/>
  <c r="H269" i="3"/>
  <c r="H268" i="3"/>
  <c r="H267" i="3"/>
  <c r="H266" i="3"/>
  <c r="H265" i="3"/>
  <c r="H264" i="3"/>
  <c r="F246" i="3"/>
  <c r="H245" i="3"/>
  <c r="G245" i="3"/>
  <c r="F245" i="3"/>
  <c r="H244" i="3"/>
  <c r="H243" i="3"/>
  <c r="H242" i="3"/>
  <c r="H241" i="3"/>
  <c r="H240" i="3"/>
  <c r="H239" i="3"/>
  <c r="H238" i="3"/>
  <c r="H237" i="3"/>
  <c r="H236" i="3"/>
  <c r="H235" i="3"/>
  <c r="H234" i="3"/>
  <c r="H233" i="3"/>
  <c r="H232" i="3"/>
  <c r="H231" i="3"/>
  <c r="H230" i="3"/>
  <c r="H229" i="3"/>
  <c r="F204" i="3"/>
  <c r="H203" i="3"/>
  <c r="G203" i="3"/>
  <c r="F203" i="3"/>
  <c r="H202" i="3"/>
  <c r="H201" i="3"/>
  <c r="H200" i="3"/>
  <c r="H199" i="3"/>
  <c r="H198" i="3"/>
  <c r="H197" i="3"/>
  <c r="H196" i="3"/>
  <c r="H195" i="3"/>
  <c r="H194" i="3"/>
  <c r="H193" i="3"/>
  <c r="H192" i="3"/>
  <c r="H191" i="3"/>
  <c r="H190" i="3"/>
  <c r="H189" i="3"/>
  <c r="H188" i="3"/>
  <c r="F180" i="3"/>
  <c r="H179" i="3"/>
  <c r="G179" i="3"/>
  <c r="F179" i="3"/>
  <c r="H178" i="3"/>
  <c r="H177" i="3"/>
  <c r="H176" i="3"/>
  <c r="H175" i="3"/>
  <c r="H174" i="3"/>
  <c r="H173" i="3"/>
  <c r="H172" i="3"/>
  <c r="H171" i="3"/>
  <c r="H170" i="3"/>
  <c r="H169" i="3"/>
  <c r="H168" i="3"/>
  <c r="H167" i="3"/>
  <c r="H166" i="3"/>
  <c r="H165" i="3"/>
  <c r="H164" i="3"/>
  <c r="H163" i="3"/>
  <c r="H162" i="3"/>
  <c r="H161" i="3"/>
  <c r="F153" i="3"/>
  <c r="H152" i="3"/>
  <c r="G152" i="3"/>
  <c r="F152" i="3"/>
  <c r="H151" i="3"/>
  <c r="H150" i="3"/>
  <c r="H149" i="3"/>
  <c r="H148" i="3"/>
  <c r="H147" i="3"/>
  <c r="H146" i="3"/>
  <c r="H145" i="3"/>
  <c r="H144" i="3"/>
  <c r="F112" i="3"/>
  <c r="H111" i="3"/>
  <c r="G111" i="3"/>
  <c r="F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F52" i="3"/>
  <c r="H51" i="3"/>
  <c r="G51" i="3"/>
  <c r="F51" i="3"/>
  <c r="H50" i="3"/>
  <c r="H49" i="3"/>
  <c r="H48" i="3"/>
  <c r="H47" i="3"/>
  <c r="H46" i="3"/>
  <c r="H45" i="3"/>
  <c r="H44" i="3"/>
  <c r="H43" i="3"/>
  <c r="H42" i="3"/>
  <c r="H41" i="3"/>
  <c r="H40" i="3"/>
  <c r="H39" i="3"/>
  <c r="H38" i="3"/>
  <c r="H37" i="3"/>
  <c r="H36" i="3"/>
  <c r="H35" i="3"/>
  <c r="H34" i="3"/>
  <c r="F27" i="3"/>
  <c r="H26" i="3"/>
  <c r="G26" i="3"/>
  <c r="F26" i="3"/>
  <c r="H25" i="3"/>
  <c r="H24" i="3"/>
  <c r="H23" i="3"/>
  <c r="H22" i="3"/>
  <c r="H21" i="3"/>
  <c r="H20" i="3"/>
  <c r="H19" i="3"/>
  <c r="H18" i="3"/>
  <c r="H17" i="3"/>
  <c r="H16" i="3"/>
  <c r="H15" i="3"/>
  <c r="H14" i="3"/>
  <c r="H13" i="3"/>
  <c r="H12" i="3"/>
  <c r="H11" i="3"/>
  <c r="H10" i="3"/>
  <c r="H9" i="3"/>
  <c r="H8" i="3"/>
  <c r="H7" i="3"/>
  <c r="H6" i="3"/>
  <c r="H5" i="3"/>
  <c r="H4" i="3"/>
  <c r="H3" i="3"/>
  <c r="J148" i="2"/>
  <c r="E148" i="2"/>
  <c r="J147" i="2"/>
  <c r="E147" i="2"/>
  <c r="J146" i="2"/>
  <c r="E146" i="2"/>
  <c r="L145" i="2"/>
  <c r="K145" i="2"/>
  <c r="J145" i="2"/>
  <c r="F145" i="2"/>
  <c r="E145" i="2"/>
  <c r="D145" i="2"/>
  <c r="L140" i="2"/>
  <c r="F140" i="2"/>
  <c r="L137" i="2"/>
  <c r="F137" i="2"/>
  <c r="L134" i="2"/>
  <c r="L133" i="2"/>
  <c r="F133" i="2"/>
  <c r="L130" i="2"/>
  <c r="L129" i="2"/>
  <c r="F129" i="2"/>
  <c r="L126" i="2"/>
  <c r="L125" i="2"/>
  <c r="F125" i="2"/>
  <c r="L122" i="2"/>
  <c r="L116" i="2"/>
  <c r="F116" i="2"/>
  <c r="L106" i="2"/>
  <c r="F106" i="2"/>
  <c r="L98" i="2"/>
  <c r="F98" i="2"/>
  <c r="L90" i="2"/>
  <c r="F90"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7" i="2"/>
  <c r="L56" i="2"/>
  <c r="L55" i="2"/>
  <c r="L54" i="2"/>
  <c r="F54" i="2"/>
  <c r="L50" i="2"/>
  <c r="L49" i="2"/>
  <c r="L48" i="2"/>
  <c r="L47" i="2"/>
  <c r="L46" i="2"/>
  <c r="L45" i="2"/>
  <c r="F45" i="2"/>
  <c r="L44" i="2"/>
  <c r="F44" i="2"/>
  <c r="L43" i="2"/>
  <c r="F43" i="2"/>
  <c r="L42" i="2"/>
  <c r="F42" i="2"/>
  <c r="L41" i="2"/>
  <c r="F41" i="2"/>
  <c r="L40" i="2"/>
  <c r="F40" i="2"/>
  <c r="L39" i="2"/>
  <c r="F39" i="2"/>
  <c r="L38" i="2"/>
  <c r="F38" i="2"/>
  <c r="L37" i="2"/>
  <c r="F37" i="2"/>
  <c r="L36" i="2"/>
  <c r="F36" i="2"/>
  <c r="L35" i="2"/>
  <c r="F35" i="2"/>
  <c r="L34" i="2"/>
  <c r="F34" i="2"/>
  <c r="L33" i="2"/>
  <c r="F33" i="2"/>
  <c r="L32" i="2"/>
  <c r="F32" i="2"/>
  <c r="L31" i="2"/>
  <c r="K31" i="2"/>
  <c r="F31" i="2"/>
  <c r="D31" i="2"/>
  <c r="L29" i="2"/>
  <c r="L28" i="2"/>
  <c r="F28" i="2"/>
  <c r="L27" i="2"/>
  <c r="F27" i="2"/>
  <c r="L26" i="2"/>
  <c r="F26" i="2"/>
  <c r="L25" i="2"/>
  <c r="F25" i="2"/>
  <c r="L24" i="2"/>
  <c r="F24" i="2"/>
  <c r="L23" i="2"/>
  <c r="F23" i="2"/>
  <c r="L22" i="2"/>
  <c r="F22" i="2"/>
  <c r="L21" i="2"/>
  <c r="F21" i="2"/>
  <c r="L20" i="2"/>
  <c r="F20" i="2"/>
  <c r="L19" i="2"/>
  <c r="F19" i="2"/>
  <c r="L18" i="2"/>
  <c r="F18" i="2"/>
  <c r="L17" i="2"/>
  <c r="F17" i="2"/>
  <c r="L16" i="2"/>
  <c r="F16" i="2"/>
  <c r="L15" i="2"/>
  <c r="F15" i="2"/>
  <c r="L14" i="2"/>
  <c r="F14" i="2"/>
  <c r="L13" i="2"/>
  <c r="F13" i="2"/>
  <c r="L12" i="2"/>
  <c r="F12" i="2"/>
  <c r="L11" i="2"/>
  <c r="F11" i="2"/>
  <c r="L10" i="2"/>
  <c r="F10" i="2"/>
  <c r="L9" i="2"/>
  <c r="F9" i="2"/>
  <c r="L8" i="2"/>
  <c r="F8" i="2"/>
  <c r="L7" i="2"/>
  <c r="F7" i="2"/>
  <c r="L6" i="2"/>
  <c r="F6" i="2"/>
  <c r="L5" i="2"/>
  <c r="F5" i="2"/>
  <c r="G263" i="1"/>
  <c r="F263" i="1"/>
  <c r="E263" i="1"/>
  <c r="G262" i="1"/>
  <c r="G261" i="1"/>
  <c r="G260" i="1"/>
  <c r="G259" i="1"/>
  <c r="G258" i="1"/>
  <c r="G257" i="1"/>
  <c r="G256" i="1"/>
  <c r="E256" i="1"/>
  <c r="G251" i="1"/>
  <c r="F251" i="1"/>
  <c r="E251" i="1"/>
  <c r="G250" i="1"/>
  <c r="G249" i="1"/>
  <c r="G248" i="1"/>
  <c r="G247" i="1"/>
  <c r="G246" i="1"/>
  <c r="G245" i="1"/>
  <c r="G244" i="1"/>
  <c r="G243" i="1"/>
  <c r="E243" i="1"/>
  <c r="G239" i="1"/>
  <c r="F239" i="1"/>
  <c r="E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E211" i="1"/>
  <c r="G207" i="1"/>
  <c r="F207" i="1"/>
  <c r="E207" i="1"/>
  <c r="G206" i="1"/>
  <c r="G205" i="1"/>
  <c r="G204" i="1"/>
  <c r="G203" i="1"/>
  <c r="G202" i="1"/>
  <c r="G201" i="1"/>
  <c r="G200" i="1"/>
  <c r="G199" i="1"/>
  <c r="G198" i="1"/>
  <c r="G197" i="1"/>
  <c r="G196" i="1"/>
  <c r="G195" i="1"/>
  <c r="G194" i="1"/>
  <c r="G193" i="1"/>
  <c r="G192" i="1"/>
  <c r="G191" i="1"/>
  <c r="G190" i="1"/>
  <c r="E190" i="1"/>
  <c r="G186" i="1"/>
  <c r="F186" i="1"/>
  <c r="E186" i="1"/>
  <c r="G185" i="1"/>
  <c r="G184" i="1"/>
  <c r="G183" i="1"/>
  <c r="G182" i="1"/>
  <c r="G181" i="1"/>
  <c r="G180" i="1"/>
  <c r="G179" i="1"/>
  <c r="G178" i="1"/>
  <c r="G177" i="1"/>
  <c r="G176" i="1"/>
  <c r="G175" i="1"/>
  <c r="G174" i="1"/>
  <c r="G173" i="1"/>
  <c r="G172" i="1"/>
  <c r="G171" i="1"/>
  <c r="G170" i="1"/>
  <c r="G169" i="1"/>
  <c r="G168" i="1"/>
  <c r="E168" i="1"/>
  <c r="G163" i="1"/>
  <c r="F163" i="1"/>
  <c r="E163" i="1"/>
  <c r="G162" i="1"/>
  <c r="G161" i="1"/>
  <c r="G160" i="1"/>
  <c r="G159" i="1"/>
  <c r="G158" i="1"/>
  <c r="G157" i="1"/>
  <c r="G156" i="1"/>
  <c r="G155" i="1"/>
  <c r="G154" i="1"/>
  <c r="G153" i="1"/>
  <c r="G152" i="1"/>
  <c r="G151" i="1"/>
  <c r="G150" i="1"/>
  <c r="G149" i="1"/>
  <c r="G148" i="1"/>
  <c r="G147" i="1"/>
  <c r="G146" i="1"/>
  <c r="G145" i="1"/>
  <c r="G144" i="1"/>
  <c r="E144" i="1"/>
  <c r="G140" i="1"/>
  <c r="F140" i="1"/>
  <c r="E140" i="1"/>
  <c r="G139" i="1"/>
  <c r="G138" i="1"/>
  <c r="G137" i="1"/>
  <c r="G136" i="1"/>
  <c r="G135" i="1"/>
  <c r="G134" i="1"/>
  <c r="G133" i="1"/>
  <c r="G132" i="1"/>
  <c r="G131" i="1"/>
  <c r="G130" i="1"/>
  <c r="G129" i="1"/>
  <c r="G128" i="1"/>
  <c r="G127" i="1"/>
  <c r="G126" i="1"/>
  <c r="G125" i="1"/>
  <c r="G124" i="1"/>
  <c r="G123" i="1"/>
  <c r="G122" i="1"/>
  <c r="E122" i="1"/>
  <c r="G118" i="1"/>
  <c r="F118" i="1"/>
  <c r="E118" i="1"/>
  <c r="G117" i="1"/>
  <c r="G116" i="1"/>
  <c r="G115" i="1"/>
  <c r="G114" i="1"/>
  <c r="G113" i="1"/>
  <c r="G112" i="1"/>
  <c r="G111" i="1"/>
  <c r="G110" i="1"/>
  <c r="G109" i="1"/>
  <c r="G108" i="1"/>
  <c r="G107" i="1"/>
  <c r="G106" i="1"/>
  <c r="G105" i="1"/>
  <c r="G104" i="1"/>
  <c r="G103" i="1"/>
  <c r="G102" i="1"/>
  <c r="G101" i="1"/>
  <c r="G100" i="1"/>
  <c r="G99" i="1"/>
  <c r="G98" i="1"/>
  <c r="G97" i="1"/>
  <c r="E97" i="1"/>
  <c r="G93" i="1"/>
  <c r="F93" i="1"/>
  <c r="E93" i="1"/>
  <c r="G92" i="1"/>
  <c r="G91" i="1"/>
  <c r="G90" i="1"/>
  <c r="G89" i="1"/>
  <c r="G88" i="1"/>
  <c r="G87" i="1"/>
  <c r="G86" i="1"/>
  <c r="G85" i="1"/>
  <c r="G84" i="1"/>
  <c r="G83" i="1"/>
  <c r="E83" i="1"/>
  <c r="G79" i="1"/>
  <c r="F79" i="1"/>
  <c r="E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E51" i="1"/>
  <c r="G47" i="1"/>
  <c r="F47" i="1"/>
  <c r="E47" i="1"/>
  <c r="G46" i="1"/>
  <c r="G45" i="1"/>
  <c r="G44" i="1"/>
  <c r="G43" i="1"/>
  <c r="G42" i="1"/>
  <c r="G41" i="1"/>
  <c r="G40" i="1"/>
  <c r="G39" i="1"/>
  <c r="G38" i="1"/>
  <c r="G37" i="1"/>
  <c r="G36" i="1"/>
  <c r="G35" i="1"/>
  <c r="G34" i="1"/>
  <c r="G33" i="1"/>
  <c r="G32" i="1"/>
  <c r="E32" i="1"/>
  <c r="G28" i="1"/>
  <c r="F28" i="1"/>
  <c r="E28" i="1"/>
  <c r="G27" i="1"/>
  <c r="G26" i="1"/>
  <c r="G25" i="1"/>
  <c r="G24" i="1"/>
  <c r="G23" i="1"/>
  <c r="G22" i="1"/>
  <c r="G21" i="1"/>
  <c r="G20" i="1"/>
  <c r="G19" i="1"/>
  <c r="G18" i="1"/>
  <c r="G17" i="1"/>
  <c r="G16" i="1"/>
  <c r="G15" i="1"/>
  <c r="G14" i="1"/>
  <c r="G13" i="1"/>
  <c r="G12" i="1"/>
  <c r="G11" i="1"/>
  <c r="G10" i="1"/>
  <c r="G9" i="1"/>
  <c r="G8" i="1"/>
  <c r="G7" i="1"/>
  <c r="G6" i="1"/>
  <c r="G5" i="1"/>
  <c r="G4" i="1"/>
</calcChain>
</file>

<file path=xl/sharedStrings.xml><?xml version="1.0" encoding="utf-8"?>
<sst xmlns="http://schemas.openxmlformats.org/spreadsheetml/2006/main" count="1928" uniqueCount="1030">
  <si>
    <t>DATES</t>
  </si>
  <si>
    <t>NATURE DE L'OPERATION</t>
  </si>
  <si>
    <t>RECETTES</t>
  </si>
  <si>
    <t>DEPENSES</t>
  </si>
  <si>
    <t>SOLDE</t>
  </si>
  <si>
    <t>REFERENCES</t>
  </si>
  <si>
    <t>Bank</t>
  </si>
  <si>
    <t>Frais de motivation pour la réalisation de charge virale T3-2023</t>
  </si>
  <si>
    <t>LIVRE JOURNAL 2025</t>
  </si>
  <si>
    <t>TOTAL DES OPERATION JANVIER 2025</t>
  </si>
  <si>
    <t>Report Solde au 01/01/2025</t>
  </si>
  <si>
    <t>Achat des thermos avec chauffe-eau</t>
  </si>
  <si>
    <t>Achat des produits d'entretien</t>
  </si>
  <si>
    <t>OVE-043</t>
  </si>
  <si>
    <t>Paiement de complément des frais de mission au Rwanda</t>
  </si>
  <si>
    <t>Réparation circuit électrique</t>
  </si>
  <si>
    <t>Appui Institutionnel au Secrétariat Exécutif CNLS</t>
  </si>
  <si>
    <t>Achat de 3 tables bureaux</t>
  </si>
  <si>
    <t>Frais de ramassage des ordures moi de juin, juillet, aout, septembre octobre 2024</t>
  </si>
  <si>
    <t>Frais de participation à la formation sur les nouveaux produits équipement et de Boicentric</t>
  </si>
  <si>
    <t>Frais de consultance elaboration module de formation PVV (30%)</t>
  </si>
  <si>
    <t>NATURE DES OPERATIONS</t>
  </si>
  <si>
    <t>OVE-044</t>
  </si>
  <si>
    <t>Commande des dossiers des patients</t>
  </si>
  <si>
    <t>Achat des matériels informatiques</t>
  </si>
  <si>
    <t>Achat des ordinateurs fixes, portables et imprimante</t>
  </si>
  <si>
    <t>REF</t>
  </si>
  <si>
    <t>Versement World Health</t>
  </si>
  <si>
    <t>OVE-047</t>
  </si>
  <si>
    <t>Réparation et entretien des véhicules 18C3045TT, AP7782C</t>
  </si>
  <si>
    <t>OVE-046</t>
  </si>
  <si>
    <t>Paiement des factures d'entretien et de réparations des véhicules du Programme</t>
  </si>
  <si>
    <t>Régularisation des perdiemes, des frais d'inscription et billet d'avions</t>
  </si>
  <si>
    <t>OVE-002</t>
  </si>
  <si>
    <t>Maintenance des appareils GENEXPERT pour le 4ème trimetre 2024</t>
  </si>
  <si>
    <t>Maintenance des appareils GENEXPERT pour le 2ème trimetre 2024</t>
  </si>
  <si>
    <t>OVE-003</t>
  </si>
  <si>
    <t>Maintenance des appareils GENEXPERT pour le 3ème trimetre 2024</t>
  </si>
  <si>
    <t>OVE-001</t>
  </si>
  <si>
    <t>Dotation en carburant moi de décembre 2024</t>
  </si>
  <si>
    <t>Réparation du véhicule AP7308C</t>
  </si>
  <si>
    <t>Date</t>
  </si>
  <si>
    <t>N° de Pièce</t>
  </si>
  <si>
    <t>Llibellé</t>
  </si>
  <si>
    <t>Debit</t>
  </si>
  <si>
    <t>Crédit</t>
  </si>
  <si>
    <t>Solde</t>
  </si>
  <si>
    <t>Libellé</t>
  </si>
  <si>
    <t xml:space="preserve">SOLDE </t>
  </si>
  <si>
    <t>Pr,Auto</t>
  </si>
  <si>
    <t>MOIS DE FEVRIER 2024</t>
  </si>
  <si>
    <t>Report solde 01/02/2024</t>
  </si>
  <si>
    <t>KBS</t>
  </si>
  <si>
    <t>COPRIB</t>
  </si>
  <si>
    <t>MOIS DE MARS 2024</t>
  </si>
  <si>
    <t>Report solde 01/03/2024</t>
  </si>
  <si>
    <t>MOIS D'AVRIL 2024</t>
  </si>
  <si>
    <t>Report solde 01/04/2024</t>
  </si>
  <si>
    <t>MOIS DE MAI 2024</t>
  </si>
  <si>
    <t>Report solde 01/05/2024</t>
  </si>
  <si>
    <t>MOIS DE JUIN 2024</t>
  </si>
  <si>
    <t>Report solde 01/06/2024</t>
  </si>
  <si>
    <t>GARAGE EXPERIENCE AUTO</t>
  </si>
  <si>
    <t>MOIS DE JUILLET 2024</t>
  </si>
  <si>
    <t>Report solde 01/07/2024</t>
  </si>
  <si>
    <t>XANTOS GRAPHIC</t>
  </si>
  <si>
    <t>MOIS D'AOUT 2024</t>
  </si>
  <si>
    <t>Report solde 01/08/2024</t>
  </si>
  <si>
    <t>MOIS DE SEPTEMBRE 2024</t>
  </si>
  <si>
    <t>Report solde 01/09/2024</t>
  </si>
  <si>
    <t>MOI D'OCTOBRE 2024</t>
  </si>
  <si>
    <t>Report solde 01/10/2024</t>
  </si>
  <si>
    <t>MOI DE NOVEMBRE 2024</t>
  </si>
  <si>
    <t>Report solde 01/11/2024</t>
  </si>
  <si>
    <t>MOI DE DECEMBRE 2024</t>
  </si>
  <si>
    <t>Report solde 01/12/2024</t>
  </si>
  <si>
    <t>ECRITURE NON RAPPROCHES</t>
  </si>
  <si>
    <t>TOTAL RAPPROCHE</t>
  </si>
  <si>
    <t>SOLDE RAPPROCHE</t>
  </si>
  <si>
    <t>ECART A RAPPROCHE</t>
  </si>
  <si>
    <t>SOLDE A RAPPROCHE</t>
  </si>
  <si>
    <t>ECARTS  = 00 FCFA</t>
  </si>
  <si>
    <t>ETAT DE RAPPROCHEMENT BANCAIRE BANCAIRE  (01/01/2025 AU 31/12/2025)</t>
  </si>
  <si>
    <t>Compte : PSLS/IST 2025</t>
  </si>
  <si>
    <t>JOURNAL BANQUE : CBT 2025</t>
  </si>
  <si>
    <t>MOIS DE JANVIER 2025</t>
  </si>
  <si>
    <t>Report solde 01/01/2025</t>
  </si>
  <si>
    <t>KNB</t>
  </si>
  <si>
    <t>VIREMENT</t>
  </si>
  <si>
    <t>MARIAM ISSAKA DAOUD</t>
  </si>
  <si>
    <t>YOUNOUS IDRISS MAHAMAT</t>
  </si>
  <si>
    <t>CNLS</t>
  </si>
  <si>
    <t>ETS MAHAMAT MAHT SALEH</t>
  </si>
  <si>
    <t>WORLD HEALTH</t>
  </si>
  <si>
    <t>Extrait de compte Bancaire</t>
  </si>
  <si>
    <t>RECT COM</t>
  </si>
  <si>
    <t>SCOR NADIF</t>
  </si>
  <si>
    <t>MAHAMAT BRAHIM ALI</t>
  </si>
  <si>
    <t>BARNABAS KAYALTO</t>
  </si>
  <si>
    <t>GLOBAL MOTORS GARAGE</t>
  </si>
  <si>
    <t>ZANOUBA MAHAMAT KODOKOD</t>
  </si>
  <si>
    <t>OUBEPHARM</t>
  </si>
  <si>
    <t>SOPETRANS</t>
  </si>
  <si>
    <t xml:space="preserve">ADOUM NAKOUR </t>
  </si>
  <si>
    <t>Libéllé des opération</t>
  </si>
  <si>
    <t>Référence</t>
  </si>
  <si>
    <t>Date d'engagement PSLS</t>
  </si>
  <si>
    <t>Date de retrais CBT</t>
  </si>
  <si>
    <t>Montant Engagé PSLS</t>
  </si>
  <si>
    <t>Montant Rétiré CBT</t>
  </si>
  <si>
    <t>AGIOS</t>
  </si>
  <si>
    <t>Bénéficiaires</t>
  </si>
  <si>
    <t>Total des Opérations</t>
  </si>
  <si>
    <t>N°</t>
  </si>
  <si>
    <t>Compte des Opérations de Dépenses et suivi des transactions mensuelles PSLS/IST JANVIER 2025</t>
  </si>
  <si>
    <t>CBT/EXTRAIT</t>
  </si>
  <si>
    <t>Extrait Bancaire</t>
  </si>
  <si>
    <t xml:space="preserve"> RECETTES PSLS/2024</t>
  </si>
  <si>
    <t>Libéllé</t>
  </si>
  <si>
    <t>Prévions</t>
  </si>
  <si>
    <t>Réalisés</t>
  </si>
  <si>
    <t xml:space="preserve">Ecrat </t>
  </si>
  <si>
    <t>Taux</t>
  </si>
  <si>
    <t>Recouvrement des recettes subvention etat et partenaires (PTF PSLS IST)  2024</t>
  </si>
  <si>
    <t>Details des recettes PSLS/IST 2024</t>
  </si>
  <si>
    <t xml:space="preserve">Montant </t>
  </si>
  <si>
    <t>Observation</t>
  </si>
  <si>
    <t>Report Solde Compte Principal PSLS/IST</t>
  </si>
  <si>
    <t>Banck CBT</t>
  </si>
  <si>
    <t>Report Solde Sous-Compte ARV</t>
  </si>
  <si>
    <t>Apport Etat (Reliquat et nouvelle subvention)</t>
  </si>
  <si>
    <t>Principal</t>
  </si>
  <si>
    <t>Contrepartie</t>
  </si>
  <si>
    <t>Apport PP/PV (TF)</t>
  </si>
  <si>
    <t>Reversement</t>
  </si>
  <si>
    <t xml:space="preserve">Financement </t>
  </si>
  <si>
    <t>TOTAL</t>
  </si>
  <si>
    <t>EXECUTION BUDGETAIRE</t>
  </si>
  <si>
    <t>Recouvré</t>
  </si>
  <si>
    <t>Excuté</t>
  </si>
  <si>
    <t>Crédit disponible</t>
  </si>
  <si>
    <t>Sous-Compte ARV</t>
  </si>
  <si>
    <t>Compte Principal PSLS/IST</t>
  </si>
  <si>
    <t>DEPENSES DE L'EXERCICE 2024</t>
  </si>
  <si>
    <t>Odre</t>
  </si>
  <si>
    <t>LIBELLES DE DEPENSES</t>
  </si>
  <si>
    <t>PREVISIONS</t>
  </si>
  <si>
    <t>ENGAGEMENTS</t>
  </si>
  <si>
    <t>ECARTS</t>
  </si>
  <si>
    <t>TAUX</t>
  </si>
  <si>
    <t>CHAPITRE I</t>
  </si>
  <si>
    <t>FONCTIONNNEMENT</t>
  </si>
  <si>
    <t>Article 1</t>
  </si>
  <si>
    <t>Acquisition des fournitures et Bien de service</t>
  </si>
  <si>
    <t>Article 2</t>
  </si>
  <si>
    <t>Consommables informatiques</t>
  </si>
  <si>
    <t>Article 3</t>
  </si>
  <si>
    <t>Matériels informatiques</t>
  </si>
  <si>
    <t>Article 4</t>
  </si>
  <si>
    <t>Mobiliers de bureau</t>
  </si>
  <si>
    <t>Article 5</t>
  </si>
  <si>
    <t>Produits d'entretien et de nettoyage</t>
  </si>
  <si>
    <t>Article 6</t>
  </si>
  <si>
    <t>Prestation de service</t>
  </si>
  <si>
    <t>Article 7</t>
  </si>
  <si>
    <t>Travaux et Amenagement</t>
  </si>
  <si>
    <t>Aticle 8</t>
  </si>
  <si>
    <t>Moyens roulants</t>
  </si>
  <si>
    <t>CHAPITRE II</t>
  </si>
  <si>
    <t>RENFORCEMENT DES CAPACITES</t>
  </si>
  <si>
    <t>Formation des agens, cadres du PSLS</t>
  </si>
  <si>
    <t>Artcle 2</t>
  </si>
  <si>
    <t>Acquisition des logiciels de suivi</t>
  </si>
  <si>
    <t>CHAPITRE III</t>
  </si>
  <si>
    <t xml:space="preserve">APPROVISIONNEMENT EN MEDICAMENT ET REACTIFS </t>
  </si>
  <si>
    <t>Médicament et Laboraroire</t>
  </si>
  <si>
    <t>Artilce 2</t>
  </si>
  <si>
    <t>Confection des outils</t>
  </si>
  <si>
    <t>Collecte et transport des echantillons pour CV</t>
  </si>
  <si>
    <t>CHAPITRE IV</t>
  </si>
  <si>
    <t>COMMUNICATION ET SENSIBILISATION</t>
  </si>
  <si>
    <t>Sensibilition et Journées Mondiales (SIDA, IST, HEPATITES)</t>
  </si>
  <si>
    <t>Ateliers et Sensibilisation</t>
  </si>
  <si>
    <t>CHAPITRE V</t>
  </si>
  <si>
    <t>ORGANISATIONS DES SOINS, SUIVI ET EVALUATION</t>
  </si>
  <si>
    <t>Appui a la prise en charge VIH/IST</t>
  </si>
  <si>
    <t>Activité de renforcementde la prise en cgarge du VIH TB et paludisme</t>
  </si>
  <si>
    <t>Prise en charge pédiatrique des adolescents jeunes</t>
  </si>
  <si>
    <t>Consultation foraine de prise en charge de l'enfant</t>
  </si>
  <si>
    <t>Frais transport seminaire pédiatrique</t>
  </si>
  <si>
    <t>Frais activités de semaines de prise en charge de l'enfant dans les districtes sanitaires</t>
  </si>
  <si>
    <t>frais semainde de la prise en charge de l'enfant</t>
  </si>
  <si>
    <t xml:space="preserve">Prise en charge Epathites </t>
  </si>
  <si>
    <t>Suivi et evaluation, supervison formative, statistiques</t>
  </si>
  <si>
    <t>Prise en charge Nutritionelle et protection sociale</t>
  </si>
  <si>
    <t>Promotion de la santé et approche communautaire (PSC)</t>
  </si>
  <si>
    <t>Confection de banderole de formation CPS</t>
  </si>
  <si>
    <t>Paiement formation CPS</t>
  </si>
  <si>
    <t>Recherche Scientifique</t>
  </si>
  <si>
    <t>frais publication articles scientifiques</t>
  </si>
  <si>
    <t>Article 8</t>
  </si>
  <si>
    <t>Laboratoire National de Recherche specialisée</t>
  </si>
  <si>
    <t>CHAPITRE VII</t>
  </si>
  <si>
    <t>CHARGE PERSONNEL</t>
  </si>
  <si>
    <t>Paiement des salaires et indemnités du personnel</t>
  </si>
  <si>
    <t xml:space="preserve">Appui aux institutions </t>
  </si>
  <si>
    <t>TOTAL DES OPERATIONS</t>
  </si>
  <si>
    <t>Fevrier  2025</t>
  </si>
  <si>
    <t>BANK</t>
  </si>
  <si>
    <t>Réport Solde Moi de Janvier 2025</t>
  </si>
  <si>
    <t>Frais de participation à la formation suivi et évaluaion à Douala/Cameoun</t>
  </si>
  <si>
    <t>OVE-045</t>
  </si>
  <si>
    <t>Paiement de Complément de frais de mission Rwanda</t>
  </si>
  <si>
    <t>OVE-004</t>
  </si>
  <si>
    <t>OVE-BANK</t>
  </si>
  <si>
    <t>Paiement Billet d'Avion aller-retour Paris</t>
  </si>
  <si>
    <t>frais de participation au congrès d'epidémiologie</t>
  </si>
  <si>
    <t>frais de collation formation en ligne sur la prise en charge des hépatites B et C</t>
  </si>
  <si>
    <t>Frais de participation au séminaire de formation</t>
  </si>
  <si>
    <t>Dotation carburant pour le moi de janvier 2025</t>
  </si>
  <si>
    <t>Achat des six (06) Kakemonos et de carte de Visite</t>
  </si>
  <si>
    <t>Livraison des cartouches Genexpert</t>
  </si>
  <si>
    <t>Achat des consommables informatique</t>
  </si>
  <si>
    <t>VIREMENT TRS</t>
  </si>
  <si>
    <t>TRESOR PUBLIC</t>
  </si>
  <si>
    <t>TOTAL DES OPERATION FEVRIER 2025</t>
  </si>
  <si>
    <t>ABAKAR MBODOU MOUTA</t>
  </si>
  <si>
    <t>BRAHIM DOUNGOUSS</t>
  </si>
  <si>
    <t>VERSEMENT TRESOR</t>
  </si>
  <si>
    <t>kobdesse boulotigam</t>
  </si>
  <si>
    <t>06/020/2025</t>
  </si>
  <si>
    <t>NOURAL HPUDA MAHAMAT</t>
  </si>
  <si>
    <t>HADA TRAVAIL</t>
  </si>
  <si>
    <t>EMMANUEL ISSA</t>
  </si>
  <si>
    <t>CIFOPE</t>
  </si>
  <si>
    <t>FRAIS transfert CIFOPE</t>
  </si>
  <si>
    <t>Frais service SMS</t>
  </si>
  <si>
    <t>Frais CRSP</t>
  </si>
  <si>
    <t>DINGUEMRO MEMDODEL</t>
  </si>
  <si>
    <t>DAOUD ABDOULAYE DAOUD</t>
  </si>
  <si>
    <t>Compte des Opérations de Dépenses et suivi des transactions mensuelles PSLS/IST FEVRIER 2025</t>
  </si>
  <si>
    <t>CBT</t>
  </si>
  <si>
    <t>MAHAMAT SALEH ABDOULAYE</t>
  </si>
  <si>
    <t>KOBDESSE BOULOTIGAM</t>
  </si>
  <si>
    <t>Total des Décaissement mois de Février 2025</t>
  </si>
  <si>
    <t>Total des Décaissement Mois de janvier 2025</t>
  </si>
  <si>
    <t>ZANOUBA MAHAMAT KADOKOD</t>
  </si>
  <si>
    <t>HALIMA DJIDOU HISSIENE IBRAHIM</t>
  </si>
  <si>
    <t>frais de changement de signature</t>
  </si>
  <si>
    <t>MAHAMAT ALI GOMBO RAMAT</t>
  </si>
  <si>
    <t>OUMAR ALKHATAB DJEILANI</t>
  </si>
  <si>
    <t>Indemnités PSLS</t>
  </si>
  <si>
    <t>frais coor</t>
  </si>
  <si>
    <t xml:space="preserve">commercialisation des </t>
  </si>
  <si>
    <t>COOP SPIRULINIER AU TCHAD</t>
  </si>
  <si>
    <t>CHQ</t>
  </si>
  <si>
    <t>REC AGENCE</t>
  </si>
  <si>
    <t>MAHAMAT YAHKOUB NASSIR</t>
  </si>
  <si>
    <t>RET COM</t>
  </si>
  <si>
    <t>OSA MAD VOYAGE</t>
  </si>
  <si>
    <t>SOCIETE HISSEIN HASSAN</t>
  </si>
  <si>
    <t>frais de célébraton de la SENAFET 2025</t>
  </si>
  <si>
    <t>frais de participation a la formation sur les nouveaux produit équipement et de biocentric</t>
  </si>
  <si>
    <t>OVE006</t>
  </si>
  <si>
    <t>Paiement de réparaton et d'entretien d'un véhicule du Programme</t>
  </si>
  <si>
    <t>OVE042</t>
  </si>
  <si>
    <t>Salaire et indemnité des médecin coach, dans le cadre d'amelioration des indicateurs du VIH, mois de février</t>
  </si>
  <si>
    <t>Réparation des véhicule AP 6871V et AP 7881C</t>
  </si>
  <si>
    <t>Réparation du Véhicule AP 6928 C</t>
  </si>
  <si>
    <t>Réparation des véhicule AP 6871 V</t>
  </si>
  <si>
    <t>Fournitures des bureaux</t>
  </si>
  <si>
    <t>OVE-00</t>
  </si>
  <si>
    <t>Contrat relatif au commande des dossiers des patients</t>
  </si>
  <si>
    <t>Frais achat des spiruline</t>
  </si>
  <si>
    <t>Entretien et maintenance du véhicule AP 6870 V au 05 mars 2025</t>
  </si>
  <si>
    <t>Frais de gardiennage mois de Février</t>
  </si>
  <si>
    <t>Achat des matériaux pour amenagement de parking Programme</t>
  </si>
  <si>
    <t>Réparation automobile en globale de véhicule AP 6928 C</t>
  </si>
  <si>
    <t>Dotation du carburant du mois de février</t>
  </si>
  <si>
    <t>Acquisition des matériels bureautique</t>
  </si>
  <si>
    <t>OVE-008</t>
  </si>
  <si>
    <t>Frais de l'ocation de véhicule</t>
  </si>
  <si>
    <t>OVE-1089</t>
  </si>
  <si>
    <t>Achat materiesls de bureau</t>
  </si>
  <si>
    <t>OVE-1088</t>
  </si>
  <si>
    <t>Achat des matériels électriques</t>
  </si>
  <si>
    <t>Compte des Opérations de Dépenses et suivi des transactions mensuelles PSLS/IST MARS 2025</t>
  </si>
  <si>
    <t>Total des Décaissement mois de Mars 2025</t>
  </si>
  <si>
    <t>-</t>
  </si>
  <si>
    <t>AGENTS MEDECINS PNT</t>
  </si>
  <si>
    <t>Réparation automobile en globale du véhicule AP 6871 v</t>
  </si>
  <si>
    <t>Organiser un atelier d'evaluation a mis parcours du PAO de 2025 pendant 2 jours à N'Djamena</t>
  </si>
  <si>
    <t>1.2</t>
  </si>
  <si>
    <t xml:space="preserve">Organiser un atelier d'evaluation du PAO de 2025 et validation du PAO_2026 pendant 3 jours en dehors de N'Djamena </t>
  </si>
  <si>
    <t>1.3</t>
  </si>
  <si>
    <t>1.4</t>
  </si>
  <si>
    <t>Recruter un Consultant pour l'Elaboration d'un Plan Integré de Communication</t>
  </si>
  <si>
    <t>2.1</t>
  </si>
  <si>
    <t>2.2</t>
  </si>
  <si>
    <t>2.3</t>
  </si>
  <si>
    <t>2.4</t>
  </si>
  <si>
    <t>2.5</t>
  </si>
  <si>
    <t>3.1</t>
  </si>
  <si>
    <t>Organiser des missions trimestrielles de supervision formatives intégrées des activités des sites PEC  VIH/IST/ Hépatites, l'harmonisation des données de la charge virale dans les sites PEC et les laboratoires et l'utilisation du tracker VIH et DHIS2</t>
  </si>
  <si>
    <t>3.2</t>
  </si>
  <si>
    <t xml:space="preserve">Organiser un atelier de 5 jours regroupant 35 participants sur l'utilisation et l'analyse de la plate forme DHSI2 </t>
  </si>
  <si>
    <t>3.5</t>
  </si>
  <si>
    <t>Faire la reprographie des  outils de collecte des données sur VIH et les Hepatites</t>
  </si>
  <si>
    <t>3.6</t>
  </si>
  <si>
    <t xml:space="preserve">Former  50  personnes en trois (3) jours du niveau intermediaire et niveau central sur l'estimation des cibles, analyse et calcul des indicateurs du VIH  </t>
  </si>
  <si>
    <t>Organiser un atelier residentiel de 05 jours regroupant 20 participants pour élaborer et valider un Manuel opérationnel S&amp;E</t>
  </si>
  <si>
    <t xml:space="preserve">Organiser un atelier rde 03 jours regroupant 30 participants pour l'élaboration et validation d'un Guide de supervision S&amp;E </t>
  </si>
  <si>
    <t>Actualiser les outils de collecte des données</t>
  </si>
  <si>
    <t xml:space="preserve">Assurer la connexion internet mensuelle pour la saisie de données individuelle dans le tracker VIH et DHIS2 </t>
  </si>
  <si>
    <t>4.1</t>
  </si>
  <si>
    <t>4.2</t>
  </si>
  <si>
    <t>5.1</t>
  </si>
  <si>
    <t>5.2</t>
  </si>
  <si>
    <t>6.1</t>
  </si>
  <si>
    <t>Former/Recycler 150  CPS de sites de prise en charge des IST/VIH et Hépatites virales en PEC globale en (5) cinq sessions pendant  trois (3) jours dans les provinces et à N’Djamena</t>
  </si>
  <si>
    <t>6.2</t>
  </si>
  <si>
    <t>Former/Recycler 296 Medecins et agents de santé de sites de PEC des IST/VIH et hépatites en PEC globale en dix (10) sessions pendant  trois (3) jours dans les provinces et à N’Djamena</t>
  </si>
  <si>
    <t>6.3</t>
  </si>
  <si>
    <t>Confectionner le KAKEMENO relatif aux algorithmes theurapetiques à l'attention des prescripteurs</t>
  </si>
  <si>
    <t>6.7</t>
  </si>
  <si>
    <t xml:space="preserve">Organiser une formation et recyclage 30 agents de PSLSH-ISTsur  la base des modules de formation actualisé sur le VIH, les Hepatites virales  à Bakara pendant trois jours  </t>
  </si>
  <si>
    <t>6.8</t>
  </si>
  <si>
    <t xml:space="preserve">Reproduire et diffuser (1000) Directives nationales de depistage  VIH </t>
  </si>
  <si>
    <t>6.9</t>
  </si>
  <si>
    <t>Organiser des suivis specifiques des sites de PECP dans la ville N'Djamena  en 7 jours  avec 3 cadres (2PSLSH, 1 PTME) par trimestre</t>
  </si>
  <si>
    <t>6.11</t>
  </si>
  <si>
    <t>Elaborer un algorithme de prise en charge  et de suivi des hépatites virales B et C</t>
  </si>
  <si>
    <t>6.13</t>
  </si>
  <si>
    <t xml:space="preserve">Reproduire  (2000 exemplaires) d'algorithme de prise en charge et suivi des hépatites virales B et C                                   </t>
  </si>
  <si>
    <t>6.14</t>
  </si>
  <si>
    <t xml:space="preserve">Valider les messages elabores pour la promotion en matiere d'education nutritionnelle aux PVV, aux coinfections VIH/Hepatites/Diabetes/TB                                               </t>
  </si>
  <si>
    <t>6.15</t>
  </si>
  <si>
    <t>Organiser un atelier de formation des formateurs sur le module de formation en PEC nutrition et protetion sociale regroupants 40 participants pour 3 jours à BAKARA</t>
  </si>
  <si>
    <t>6.16</t>
  </si>
  <si>
    <t>Elaborer un algorithme simplifié de prise en charge  nutritionnelle</t>
  </si>
  <si>
    <t>6.23</t>
  </si>
  <si>
    <t>Organiser des missions de supervision trimestriel des CDV du niveau central vers les provinces</t>
  </si>
  <si>
    <t>6.25</t>
  </si>
  <si>
    <t xml:space="preserve">Evaluation de la qualité de prise en charge des PVV dans 15 sites  de prise en charge à Ndjamena </t>
  </si>
  <si>
    <t>6.26</t>
  </si>
  <si>
    <t xml:space="preserve">Etude sur la resistance du VIH  face aux ARV </t>
  </si>
  <si>
    <t>6.27</t>
  </si>
  <si>
    <t xml:space="preserve">Organiser une formation  sur la base des modules de formations actualisées sur le VIH , les hépatites Virales et les IST aux Nouveaux agents affectés ( Nombre à definir )  au PSLS et APMS à Mara pendant 4 jours </t>
  </si>
  <si>
    <t>6.28</t>
  </si>
  <si>
    <t xml:space="preserve">Animer 2 conferences débat sur le VIH dans les Universités Hec tchad et  Toumai </t>
  </si>
  <si>
    <t>6.29</t>
  </si>
  <si>
    <t xml:space="preserve">Doter mensuellement tous les 10 membres du Comité Scientifique National  du forfait internet  en raison de 30 GB /mois </t>
  </si>
  <si>
    <t xml:space="preserve">Publier 2  articles scientifiques issus des travaux des resultats des recherches dans des grandes revues scientifiques. </t>
  </si>
  <si>
    <t xml:space="preserve">Organiser des missions de supervisions trimestrielles pour le suivi des activités communautaires et le renforcement des capacités des clubs des ados et jeunes dans les villes de N’Djamena, Moundou, Bol, Mongo, Abéché, Pala, Doba, Koumra, Lai et Sarh en trois (3) axes pendant dix (10) jours avec trois (3) cadres par axe. </t>
  </si>
  <si>
    <t>Appuyer dix (10) Associations et Organisations de la Société Civile dans l’organisation des activités et la réalisation des films documentaires pour la prévention contre les IST/VIH/hépatites /TB y compris l’importance de la charge virale.</t>
  </si>
  <si>
    <t>Organiser la Journée Mondiale de lutte contre le Sida, Edition 2025</t>
  </si>
  <si>
    <t>Organiser la Journée Mondiale de lutte contre les Hépatites, Edition 2025</t>
  </si>
  <si>
    <t>6.36</t>
  </si>
  <si>
    <t>Participer à la Semaine Nationale de la Femme Tchadienne, Edition 2025</t>
  </si>
  <si>
    <t>Former/Recycler 75 agents de santé et CPS de sites de prise en charge des IST/VIH /hépatites/TB en accueil/technique de communication interpersonnelle  en trois  sessions  pendant  trois (3) jours dans les provinces et à N’Djamena.</t>
  </si>
  <si>
    <t>Reproduire et diffuser  les messages et supports de communication élaboré et validé (affiches A3, affiches murales, prospectus ou dépliants, boites  à image, spot  etc.)</t>
  </si>
  <si>
    <t>7.1</t>
  </si>
  <si>
    <t>Médicaments ARV</t>
  </si>
  <si>
    <t>7.2</t>
  </si>
  <si>
    <t>Médicaments Ios</t>
  </si>
  <si>
    <t>7.3</t>
  </si>
  <si>
    <t>7.4</t>
  </si>
  <si>
    <t>7.5</t>
  </si>
  <si>
    <t>7.6</t>
  </si>
  <si>
    <t xml:space="preserve">Réactifs charge virale HBS </t>
  </si>
  <si>
    <t>Réactifs charge virale cartouche  HIV</t>
  </si>
  <si>
    <t>Consommables ( seringues, tubes EDTA, coton, alcool, aiguille, gants,cryotube…..)</t>
  </si>
  <si>
    <t>7.11</t>
  </si>
  <si>
    <t>Produits riches   en micronutriments et vitamines au profit des personnes vivant avce le VIH (Spiruline)</t>
  </si>
  <si>
    <t>Disponibiliser le lait F75 et F100 pour la prise en charge nutritionnelle  des PVV et les malades coinfectés à un stade avancé dans les hopitaux du jour pilote</t>
  </si>
  <si>
    <t>Achats des glacieres pour assurer le transport des echantillons pour la realisation de la charge virale dans la ville de Ndjamena et ainsi que les provinces</t>
  </si>
  <si>
    <t>Acquisition d'un logiciel de suivi de mouvement des stocks des intrants VIH au niveau du PSLSH/IST et formation de 12 agents</t>
  </si>
  <si>
    <t>Former/Recycler  en 4 pools des acteurs des 23 PPA  ( Gestionnaire stock des produits de programme), gestionnaire de stock des  23 hopitaux provinciaux, 7 CHU et 30 PF à BAKARA pour 3 jours</t>
  </si>
  <si>
    <t>Organiser une mission de supervision formative  semestrielle sur la GASL du niveau central vers les 23 provinces en 5 axes de dix(10) jours pour chaque axe</t>
  </si>
  <si>
    <t>Former 46 techniciens ( 2 participants par province) a Bakara pendant 3jours sur la gestion de la qualité et d'accréditation de laboratoire.</t>
  </si>
  <si>
    <t xml:space="preserve">Former 38 techniciens de laboratoire ( 23 provinces plus 15 sites de prise en charges VIH de NDjamena)  pendant 3 jours à N’Djamena sur le système de Gestion des données  et de l’information (VIH /IST /HEPATITES) </t>
  </si>
  <si>
    <t>Former 23 techniciens de laboratoire a koundoul  sur le contrôle/qualité externe sur la charge virale et la DBS</t>
  </si>
  <si>
    <t xml:space="preserve">Former 15 techniciens sur les procedure operationnelles des Biocentric  ( sites de realisations) a Bakara pendant 3 jours </t>
  </si>
  <si>
    <t>Achat  de performance des acteurs impliqués sur la réalisation de la charge virale en raison de 1 000 FCFA par CV réalisée reussie</t>
  </si>
  <si>
    <t>Organisation de 2 caravances de C.V  a N'Djamena et a Moundou</t>
  </si>
  <si>
    <t>Confection des ordonnanciers</t>
  </si>
  <si>
    <t>Registre Laboratoire (100 pages)</t>
  </si>
  <si>
    <t>Registre pharmacie (100 pages)</t>
  </si>
  <si>
    <t>Registre de dépistage volontaire (100 pages)</t>
  </si>
  <si>
    <t>Dossier patient (100 pages)</t>
  </si>
  <si>
    <t>Fiche de pointage par régime therapeutique</t>
  </si>
  <si>
    <t>Reproduction des bulletins d'analyse de charge virale afin de disposé dans la pharmacie et le sites de PEC</t>
  </si>
  <si>
    <t>Confection des SOP pour le dépistage du VIH</t>
  </si>
  <si>
    <t>Reproduction des ordonanciers hépatite B et C</t>
  </si>
  <si>
    <t>Réf. Ligne</t>
  </si>
  <si>
    <t>Libéllé des Depenses</t>
  </si>
  <si>
    <t>Pilier/Objectifs PAO</t>
  </si>
  <si>
    <t>TABLEAU D'IMPUTATION BUDGETAIRE PSLS 2025</t>
  </si>
  <si>
    <t>Montant engagé</t>
  </si>
  <si>
    <t>Réf. Bank</t>
  </si>
  <si>
    <t>Réf. Adm</t>
  </si>
  <si>
    <t>Nature des Dépenses</t>
  </si>
  <si>
    <t>Prévision annuelle (FCFA</t>
  </si>
  <si>
    <t>Dépenses engagés</t>
  </si>
  <si>
    <t>Dépenses non engagées</t>
  </si>
  <si>
    <t>TITRE 1</t>
  </si>
  <si>
    <t>Fonctionnement du PSLSH</t>
  </si>
  <si>
    <t>CH1.1</t>
  </si>
  <si>
    <t>ACQUISITION DES BIENS ET FOURNITURES</t>
  </si>
  <si>
    <t>AR 1.1.1</t>
  </si>
  <si>
    <t>Fournitures de bureau</t>
  </si>
  <si>
    <t>AR1.1.2</t>
  </si>
  <si>
    <t>Carburants pour les véhicules de la coordination</t>
  </si>
  <si>
    <t>AR1.1.3</t>
  </si>
  <si>
    <t xml:space="preserve">Carburant pour le personnel de la Coordinnation </t>
  </si>
  <si>
    <t>AR1.1.4</t>
  </si>
  <si>
    <t>Carburants pour groupe Electrogène</t>
  </si>
  <si>
    <t>1.1.5</t>
  </si>
  <si>
    <t xml:space="preserve">Carburant pour le personnel  de l'APMS </t>
  </si>
  <si>
    <t>1.2.1</t>
  </si>
  <si>
    <t>Encres imprimante 3010</t>
  </si>
  <si>
    <t>1.2.2</t>
  </si>
  <si>
    <t>Multiprise</t>
  </si>
  <si>
    <t>1.2.4</t>
  </si>
  <si>
    <t>Stablisateurs (5000 Amp)</t>
  </si>
  <si>
    <t>1.2.5</t>
  </si>
  <si>
    <t>Toner photocopieuse 2025</t>
  </si>
  <si>
    <t>1.2.6</t>
  </si>
  <si>
    <t>Encre HP laser jet 725</t>
  </si>
  <si>
    <t>1.2.7</t>
  </si>
  <si>
    <t>Encre HP laser jet 05A</t>
  </si>
  <si>
    <t>1.2.8</t>
  </si>
  <si>
    <t>Toner HP Laser Jet Pro MFP M281</t>
  </si>
  <si>
    <t>1.2.9</t>
  </si>
  <si>
    <t>Anti virus</t>
  </si>
  <si>
    <t>1.3.1</t>
  </si>
  <si>
    <t>Ordinateurs fixe complet</t>
  </si>
  <si>
    <t>1.3.2</t>
  </si>
  <si>
    <t>Ordinateurs Portable de Coordination</t>
  </si>
  <si>
    <t>1.3.3</t>
  </si>
  <si>
    <t>Ordinateurs Portable (APMS)</t>
  </si>
  <si>
    <t>1.3.4</t>
  </si>
  <si>
    <t>Ordinateur fixe complet (APMS)</t>
  </si>
  <si>
    <t>1.3.5</t>
  </si>
  <si>
    <t>Ordinateur pour la gestion des stocks et de la file active au niveau des sites PEC</t>
  </si>
  <si>
    <t>1.3.6</t>
  </si>
  <si>
    <t>Imprimante noir blanc</t>
  </si>
  <si>
    <t>1.3.7</t>
  </si>
  <si>
    <t>Imprimante en couleur</t>
  </si>
  <si>
    <t>1.3.8</t>
  </si>
  <si>
    <t>Photocopieuse</t>
  </si>
  <si>
    <t>1.3.9</t>
  </si>
  <si>
    <t>Vidéo projecteurs</t>
  </si>
  <si>
    <t>1.4.1</t>
  </si>
  <si>
    <t>Chaises roulantes</t>
  </si>
  <si>
    <t>1.4.2</t>
  </si>
  <si>
    <t xml:space="preserve">Bureau avec retour </t>
  </si>
  <si>
    <t>1.4.3</t>
  </si>
  <si>
    <t>Chaises visiteur</t>
  </si>
  <si>
    <t>1.4.4</t>
  </si>
  <si>
    <t>Climatiseurs Split</t>
  </si>
  <si>
    <t>1.4.5</t>
  </si>
  <si>
    <t>Equipement du Laboratoire National de Référence pour le VIH et les Hépatites (LNR_HIV_Hep)</t>
  </si>
  <si>
    <t>1.4.6</t>
  </si>
  <si>
    <t>Chaises roulantes (APMS)</t>
  </si>
  <si>
    <t>1.4.7</t>
  </si>
  <si>
    <t>Bureau avec retour importé ( APMS)</t>
  </si>
  <si>
    <t>1.4.8</t>
  </si>
  <si>
    <t>Chaise (APMS activités en strategie avancée)</t>
  </si>
  <si>
    <t>1.4.9</t>
  </si>
  <si>
    <t>Table mobile (APMS activités en strategie avancée )</t>
  </si>
  <si>
    <t>1.5</t>
  </si>
  <si>
    <t>1.5.1</t>
  </si>
  <si>
    <t>Ajax carton de 12</t>
  </si>
  <si>
    <t>1.5.2</t>
  </si>
  <si>
    <t>Omo carton</t>
  </si>
  <si>
    <t>1.5.3</t>
  </si>
  <si>
    <t>Deodorant carton de douzaine</t>
  </si>
  <si>
    <t>1.5.4</t>
  </si>
  <si>
    <t>Insecticides</t>
  </si>
  <si>
    <t>1.5.5</t>
  </si>
  <si>
    <t>Eau de javel</t>
  </si>
  <si>
    <t>1.5.6</t>
  </si>
  <si>
    <t>Serpièllères</t>
  </si>
  <si>
    <t>1.5.7</t>
  </si>
  <si>
    <t>Balais</t>
  </si>
  <si>
    <t>1.5.8</t>
  </si>
  <si>
    <t>Brouettes</t>
  </si>
  <si>
    <t>1.5.9</t>
  </si>
  <si>
    <t>Equipement de protection</t>
  </si>
  <si>
    <t>1.5.10</t>
  </si>
  <si>
    <t>Piéces détachées des véhicules</t>
  </si>
  <si>
    <t>1.5.11</t>
  </si>
  <si>
    <t>Subsistance Trimestrielle pour le personnel (sucre,lait,café,the etc…...)</t>
  </si>
  <si>
    <t>PRESTATIONS DE SERVICE</t>
  </si>
  <si>
    <t>Contrat de gardiennage</t>
  </si>
  <si>
    <t>Contrat de nettoyage et ramassage des ordures</t>
  </si>
  <si>
    <t xml:space="preserve">Entretien et réparation des véhicules </t>
  </si>
  <si>
    <t xml:space="preserve">Entretien de groupe électrogène </t>
  </si>
  <si>
    <t>Maintenance de l'électricité, climatisation, plomberie, froid….</t>
  </si>
  <si>
    <t>2.6</t>
  </si>
  <si>
    <t>Maintenance des plateformes GeneXpert pour le diagnostic de la Charge virale</t>
  </si>
  <si>
    <t>2.7</t>
  </si>
  <si>
    <t>Contrat de jardinage (APMS)</t>
  </si>
  <si>
    <t>2.9</t>
  </si>
  <si>
    <t>Contrat animateur socioculturel (APMS)</t>
  </si>
  <si>
    <t>2.10</t>
  </si>
  <si>
    <t>Apporter Trimestriellement un appui pour le fonctionnement au Centre Espoir de Vie</t>
  </si>
  <si>
    <t>2.11</t>
  </si>
  <si>
    <t>Equiper en materiel  le Centre Espoir de Vie</t>
  </si>
  <si>
    <t>2.12</t>
  </si>
  <si>
    <t>Concevoir et reproduire des Kakemeno de l'Organigramme du PSLSH/IST</t>
  </si>
  <si>
    <t>TRAVAUX ET AMENAGEMENT</t>
  </si>
  <si>
    <t>Extention du batiment du laboratoire  (LNR_VIH_Hep)</t>
  </si>
  <si>
    <t xml:space="preserve">Extention du batiment de 08 pieces </t>
  </si>
  <si>
    <t>3.3</t>
  </si>
  <si>
    <t>Installation des equipements de videosurveillance</t>
  </si>
  <si>
    <t>3.4</t>
  </si>
  <si>
    <t>Construction d'un incinérateur moderne pour la gestion des déchets (APMS)</t>
  </si>
  <si>
    <t>Construction d'un entrepot pour la conservation des intrants (APMS)</t>
  </si>
  <si>
    <t>Construction d'une salle de réunion (APMS)</t>
  </si>
  <si>
    <t xml:space="preserve">Acquisition   Hilux 4x4 </t>
  </si>
  <si>
    <t>Acquisition   HardTop</t>
  </si>
  <si>
    <t>4.3</t>
  </si>
  <si>
    <t>Acquisition Hilux 4x4 pour l'APMS</t>
  </si>
  <si>
    <t>4.4</t>
  </si>
  <si>
    <t>Acquisition d'un véhicule de sonorisation</t>
  </si>
  <si>
    <t>4.5</t>
  </si>
  <si>
    <t>Acquisition de deux moto (APMS)</t>
  </si>
  <si>
    <t>4.6</t>
  </si>
  <si>
    <t>Acquistion des motos</t>
  </si>
  <si>
    <t>RENFORCEMENTS DES CAPACITES DU PERSONNEL</t>
  </si>
  <si>
    <t>Former à l’étranger :   02 personne en Du sur leardership</t>
  </si>
  <si>
    <t>Former 02 cadres en Suivi Evaluation des projets et programmes</t>
  </si>
  <si>
    <t>5.3</t>
  </si>
  <si>
    <t>Former 01 cadre en Gestion finanaciere et  Comptable</t>
  </si>
  <si>
    <t>5.4</t>
  </si>
  <si>
    <t xml:space="preserve">Former à l’étranger :   03 personnes dans le cadre de la gestion de programmes </t>
  </si>
  <si>
    <t xml:space="preserve">Approvisionnement en médicaments, appareils, réactifs et consommables </t>
  </si>
  <si>
    <t>MEDICAMMENTS ET LABORATOIRES</t>
  </si>
  <si>
    <r>
      <t xml:space="preserve">Réactifs de dépistage </t>
    </r>
    <r>
      <rPr>
        <sz val="11"/>
        <color indexed="8"/>
        <rFont val="Times New Roman"/>
        <family val="1"/>
      </rPr>
      <t>VIH (determine, bioline, statpak)</t>
    </r>
  </si>
  <si>
    <t>6.4</t>
  </si>
  <si>
    <r>
      <t xml:space="preserve">Réactifs de dépistage </t>
    </r>
    <r>
      <rPr>
        <sz val="11"/>
        <color indexed="8"/>
        <rFont val="Times New Roman"/>
        <family val="1"/>
      </rPr>
      <t xml:space="preserve"> Hepatites B</t>
    </r>
  </si>
  <si>
    <t>6.5</t>
  </si>
  <si>
    <r>
      <t xml:space="preserve">Réactifs de dépistage </t>
    </r>
    <r>
      <rPr>
        <sz val="11"/>
        <color indexed="8"/>
        <rFont val="Times New Roman"/>
        <family val="1"/>
      </rPr>
      <t xml:space="preserve"> Syphilis</t>
    </r>
  </si>
  <si>
    <t>6.6</t>
  </si>
  <si>
    <r>
      <t xml:space="preserve">Réactifs de dépistage </t>
    </r>
    <r>
      <rPr>
        <sz val="11"/>
        <color indexed="8"/>
        <rFont val="Times New Roman"/>
        <family val="1"/>
      </rPr>
      <t>Hepatites C</t>
    </r>
  </si>
  <si>
    <t>6.10</t>
  </si>
  <si>
    <t>6.12</t>
  </si>
  <si>
    <t>Transport echantillons CV N'djamena</t>
  </si>
  <si>
    <t>Transport echantillons CV Provinces</t>
  </si>
  <si>
    <t>Forfait communication pour la CV des sites de N'djamena</t>
  </si>
  <si>
    <t>6.17</t>
  </si>
  <si>
    <t>6.18</t>
  </si>
  <si>
    <t>6.19</t>
  </si>
  <si>
    <t>6.20</t>
  </si>
  <si>
    <t>6.21</t>
  </si>
  <si>
    <t>6.22</t>
  </si>
  <si>
    <t>6.24</t>
  </si>
  <si>
    <t>Former à l’étranger :   04 ( 2 en Gas et 2 Laboratoire) personne en D.U</t>
  </si>
  <si>
    <t>LABORATOIRE NATIONAL DE REFERENCE SPECIALISEE</t>
  </si>
  <si>
    <t>PRISE EN CHARGE VIH/IST</t>
  </si>
  <si>
    <t>8.1</t>
  </si>
  <si>
    <t>8.2</t>
  </si>
  <si>
    <t>8.3</t>
  </si>
  <si>
    <t>Former 02  personnes en DU sur la PEC globale VIH/IST</t>
  </si>
  <si>
    <t>8.4</t>
  </si>
  <si>
    <t>Faire participer 2 personnes du service PEC VIH/IST  à deux (02) conférence (VIH /IST )</t>
  </si>
  <si>
    <t>8.5</t>
  </si>
  <si>
    <t>8.6</t>
  </si>
  <si>
    <t xml:space="preserve">Reviser les directives nationales sur la prise en charge des IST  </t>
  </si>
  <si>
    <t>8.7</t>
  </si>
  <si>
    <t>Valider les directives nationales revises sur la prise en charge</t>
  </si>
  <si>
    <t>8.8</t>
  </si>
  <si>
    <t xml:space="preserve">Organiser un atelier de validation du guide simplifié sur la prise en  charge VIH/IST </t>
  </si>
  <si>
    <t>8.9</t>
  </si>
  <si>
    <t>8.10</t>
  </si>
  <si>
    <t>Sous total 8 : Prise en Charge VIH/IST</t>
  </si>
  <si>
    <t>PRISE EN CHARGE PEDIATRIQUE DES  ADOLESCENTS ET JEUNES</t>
  </si>
  <si>
    <t>9.1</t>
  </si>
  <si>
    <t>9.2</t>
  </si>
  <si>
    <t>Former 02  personnes en DU sur la PEC PEDIATRIE</t>
  </si>
  <si>
    <t>9.3</t>
  </si>
  <si>
    <t>Elaborer les directives de PEC du VIH pediatrique ainsi que les modules de formation</t>
  </si>
  <si>
    <t>9.4</t>
  </si>
  <si>
    <t>Faire participer 2 personnes à un voyage d'echange et d'experience a l'exterieur(Rwanda) sur la prise en charge pediatrique (VIH /IST /HEPATITES )</t>
  </si>
  <si>
    <t>PRISE EN CHARGE HEPATITES</t>
  </si>
  <si>
    <t>10.1</t>
  </si>
  <si>
    <t>Faire participer 2 personne du service PEC Hepatites  a une conférence internationale sur les Hepatites</t>
  </si>
  <si>
    <t>10.2</t>
  </si>
  <si>
    <t>Former 02  personnes en DU sur la PEC HEPATITES VIRALES</t>
  </si>
  <si>
    <t>10.3</t>
  </si>
  <si>
    <t>10.4</t>
  </si>
  <si>
    <t>organiser un atelier de formation des formateurs sur la  PEC Hepatites virales de 25 personnes</t>
  </si>
  <si>
    <t>10.5</t>
  </si>
  <si>
    <t>11.1</t>
  </si>
  <si>
    <t>11.2</t>
  </si>
  <si>
    <t>11.3</t>
  </si>
  <si>
    <t>Former 02  personnes en DU sur la PEC Nutritionnelle et protection sociale</t>
  </si>
  <si>
    <t>11.4</t>
  </si>
  <si>
    <t>Faire participer 2 personnes  a une conférence internationale sur la  PEC nutritionnelle et protection sociale des PVV</t>
  </si>
  <si>
    <t>11.5</t>
  </si>
  <si>
    <t>11.6</t>
  </si>
  <si>
    <t xml:space="preserve">Equiper les sites PEC en balance, toise et MUAC pour l'evaluation de l'etat nutritionnel des PVV et OEV dans l'integration a la PEC medicale </t>
  </si>
  <si>
    <t>11.7</t>
  </si>
  <si>
    <t xml:space="preserve">Reproduire les messages (1000) elabores pour la promotion en matiere d'education nutritionnelle aux PVV, aux coinfections VIH/Hepatites/Diabetes/TB                                               </t>
  </si>
  <si>
    <t>11.8</t>
  </si>
  <si>
    <t>Former les mentors les (prestataires) sur l'education nutritionnelle des PVV dans les sites PEC VIH/Hepatites</t>
  </si>
  <si>
    <t>11.9</t>
  </si>
  <si>
    <t>Reproduire et diffuser (3000) guides simplifiés du PSN   Nutrition et protection sociale</t>
  </si>
  <si>
    <t>11.10</t>
  </si>
  <si>
    <t>Reproduire en papier glacé le guide de prise en charge nutritionnelle en 500 exemplaires (Francais et Arabe)</t>
  </si>
  <si>
    <t>11.11</t>
  </si>
  <si>
    <t>Realiser une enquete nationale pour l'evaluation de l'etat nutritionnel des PVV dans les sites de PEC</t>
  </si>
  <si>
    <t>APMS</t>
  </si>
  <si>
    <t>12.1</t>
  </si>
  <si>
    <t>SUIVI / EVALUATION ET STATISTIQUE</t>
  </si>
  <si>
    <t>13.1</t>
  </si>
  <si>
    <t>13.2</t>
  </si>
  <si>
    <t>13.3</t>
  </si>
  <si>
    <t xml:space="preserve">Faire achat de performance pour la saisie de données tracker VIH </t>
  </si>
  <si>
    <t>13.4</t>
  </si>
  <si>
    <t xml:space="preserve">Organiser 02 reunions d'analyse et de validation  sur la plate forme DHIS2  en quatre 04 pools </t>
  </si>
  <si>
    <t>13.5</t>
  </si>
  <si>
    <t>13.6</t>
  </si>
  <si>
    <t>13.7</t>
  </si>
  <si>
    <t>13.8</t>
  </si>
  <si>
    <t>13.9</t>
  </si>
  <si>
    <t>Recruter un consultant pour l'élaboration du manuel opérationnel S§E</t>
  </si>
  <si>
    <t>13.10</t>
  </si>
  <si>
    <t>13.11</t>
  </si>
  <si>
    <t>13.12</t>
  </si>
  <si>
    <t>Former a l'etranger 02 personnes en suivi evaluation et statistiques</t>
  </si>
  <si>
    <t>13.13</t>
  </si>
  <si>
    <t>Faire participer 03 cadres du SE aux conferences internationales</t>
  </si>
  <si>
    <t>13.14</t>
  </si>
  <si>
    <t>13.15</t>
  </si>
  <si>
    <t>Former sur la plateforme DHIS 2</t>
  </si>
  <si>
    <t>13.16</t>
  </si>
  <si>
    <t>Réabilitation du local abritant les outils de gestion, collecte des données de suivi evaluation et les documents normatif du PSLSH/IST</t>
  </si>
  <si>
    <t>13.17</t>
  </si>
  <si>
    <t>Recruter un consultant pour une assistance technique internationale pour une année rénouvelable</t>
  </si>
  <si>
    <t>13.18</t>
  </si>
  <si>
    <t>Traduire en arabe les outils de gestion, collecte des données de suivi evaluation et les documents normatif du PSLSH/IST</t>
  </si>
  <si>
    <t>13.19</t>
  </si>
  <si>
    <t xml:space="preserve">Superviser les hopitaux du jour dans les CHU et les hopitaux des grandes provinces du Tchad pour une protection sociale par la prise en charge nutritionnelle pour les patients VIH avancé </t>
  </si>
  <si>
    <t>Sous total 13 : Suivi  Evaluation et Statistique</t>
  </si>
  <si>
    <t>RECHERCHE SCIENTIFIQUE</t>
  </si>
  <si>
    <t>14.1</t>
  </si>
  <si>
    <t>14.2</t>
  </si>
  <si>
    <t>Etude sur la prevalance du VIH dans les casernes</t>
  </si>
  <si>
    <t>14.3</t>
  </si>
  <si>
    <t>14.4</t>
  </si>
  <si>
    <t>14.5</t>
  </si>
  <si>
    <t>14.6</t>
  </si>
  <si>
    <t>14.7</t>
  </si>
  <si>
    <t>14.8</t>
  </si>
  <si>
    <t xml:space="preserve">Faire participer  1 personne du Service Recherche à l’ ICASA en décembre 2025  au GHANA </t>
  </si>
  <si>
    <t>14.9</t>
  </si>
  <si>
    <t xml:space="preserve">Former 1  cadres du service recherche sur l' utilisation des logiciels d' analyse des données ( SPSS, STATA, SPHINX et KOBO collect)  en Ligne </t>
  </si>
  <si>
    <t>14.10</t>
  </si>
  <si>
    <t xml:space="preserve">Former  01   agent de service recherche sur la méthodologie de la recherche </t>
  </si>
  <si>
    <t>PROMOTION DE LA SANTE ET APPROCHE COMMUNAUTAIRE</t>
  </si>
  <si>
    <t>15.1</t>
  </si>
  <si>
    <t>Organiser des campagnes intégrées  en trois  ( 3) axes pour la promotion en matière de prévention, la lutte contre la stigmatisation/discrimination couplée au dépistage VIH/HEPATITES en collaboration avec les Organisations de la Société Civile (OSC) au profit des cibles vulnérables (jeunes adolescents, jeunes femmes, les réfugiés et déplacées, les pécheurs, les routiers, les orpailleurs ) dans les provinces de , Ndjamena, Lac, Hadjer Lamis, Tandjilé, Logone Occidental ,  Borkou et Tibesti .</t>
  </si>
  <si>
    <t>15.2</t>
  </si>
  <si>
    <t>15.3</t>
  </si>
  <si>
    <t>15.4</t>
  </si>
  <si>
    <t xml:space="preserve">Former à l’éxterieur : 02  personnes en santé Publique sur la gestion communautaire du VIH </t>
  </si>
  <si>
    <t>COMMUNICATION</t>
  </si>
  <si>
    <t>16.1</t>
  </si>
  <si>
    <t>16.2</t>
  </si>
  <si>
    <t>16.3</t>
  </si>
  <si>
    <t>16.4</t>
  </si>
  <si>
    <t>16.5</t>
  </si>
  <si>
    <t>16.6</t>
  </si>
  <si>
    <t>16.7</t>
  </si>
  <si>
    <t>Former à l’étranger : 02  personne en communication de devellopement sanitaire</t>
  </si>
  <si>
    <t>CHARGE DU PERSONNEL</t>
  </si>
  <si>
    <t>17.1</t>
  </si>
  <si>
    <t>17.2</t>
  </si>
  <si>
    <t>Paiement des salaires des medecins coachs</t>
  </si>
  <si>
    <t>17.3</t>
  </si>
  <si>
    <t xml:space="preserve">Assurance  maladie du Personnel </t>
  </si>
  <si>
    <t>17.4</t>
  </si>
  <si>
    <t>17.5</t>
  </si>
  <si>
    <t>Appui aux ONG et autres Associations nationales intervenant dans la riposte au VIH/Sida, IST et les Hépatites (BET, Wadi Fira, Batha, Lac, Logone Occidental et Mayo Kebbi Est</t>
  </si>
  <si>
    <t>17.6</t>
  </si>
  <si>
    <t>Mettre à jour  et alimenter le site WEB pour le Programme</t>
  </si>
  <si>
    <t>Activités GC7 de l'année A1</t>
  </si>
  <si>
    <t>Editer, vulgariser les affiches sur l'algorithme à 3 test à l'attention  des prestataires</t>
  </si>
  <si>
    <t>Former les laboratins et techniciens de laboratoire sur les dépistages différencié du VIH, des hépatites et IST ainsi que le 3e test</t>
  </si>
  <si>
    <t xml:space="preserve">Promouvoir les différentes stratégies de dépistage différenciée en formant les paramédicaux  sur le dépistage différencié y compris un coaching sur site des prestataires sur le dépistage différencié des populations clés  </t>
  </si>
  <si>
    <t>Organiser des missions de supervision trimestrielle des CDV du niveau central vers les provinces</t>
  </si>
  <si>
    <t>Organiser des rencontres mensuelles  des clubs des enfants et adolescents vivant avec le VIH dans les provinces  priorisées (observance, éducation thérapeutique, soutien psychologique)</t>
  </si>
  <si>
    <t>Organiser des réunions d'intégration du dépistage du VIH chez les enfants vus en  consultations  externes, hospitalisation ainsi que dans les unités nutritionnelles, vaccination, pédiatrie (enfants) dans les provinces  priorisées</t>
  </si>
  <si>
    <t>Appui au fonctionnement des clubs des adolescent.e.s et jeunes pour la mise en œuvre des activités communautaires</t>
  </si>
  <si>
    <t>Appui à la Mise en place les services différenciés pour les enfants (RV harmonisé, consultation de couple mère-enfant, M3 chez les enfants avec CV indétectable, dépistage des cas index, stratégie des mères mentor pour l’identification active des enfants)</t>
  </si>
  <si>
    <t>Confectionner des affiches murales pour les schémas thérapeutiques pour tous les sites PEC/PTME</t>
  </si>
  <si>
    <t>Assurer la supervision régulière et facilitante des acteurs de mise en œuvre du niveau central vers le niveau intermédiaire</t>
  </si>
  <si>
    <t>Apporter un appui au fonctionnement ( ressources humaines, matériels et programmatique) de l'APMS</t>
  </si>
  <si>
    <t xml:space="preserve">Développer et mettre en œuvre une stratégie ciblant les hommes, les enfants, les adolescents et jeunes dans les provinces  priorisées  </t>
  </si>
  <si>
    <t xml:space="preserve">Organiser l'atelier de validation de la stratégie ciblant les hommes, les enfants, les adolescents et jeunes dans les provinces  priorisées  </t>
  </si>
  <si>
    <t>Former les adolescents et jeunes VIH+ leaders pour la mise en place du traitement litteracy et l'animation des groupes de paroles, rencontres communautaires des enfants/adolescents et les activités de pairs éducation dans les provinces  priorisées</t>
  </si>
  <si>
    <t xml:space="preserve">Produire et diffuser les outils de communication (Nutrition, VIH, Hépatites, IST, TB) en faisant la promotion de I=I indétectable = non transmissible (« U=U »), la sécurité et la confidentialité des données, les connaissances sur les co-infections et les comorbidités chez les personnes vivant avec le VIH, éducation nutritionnelle aux PVV </t>
  </si>
  <si>
    <t>Organiser l'atelier de validation du plan intégré de communication ( Nutrition, VIH, Hépatites, IST, TB ) et assurer sa mise en œuvre en faisant la promotion  de I=I  indétectable = non transmissible (« U=U »), la sécurité et la confidentialité des données, les connaissances sur les co-infections et les comorbidités chez les personnes vivant avec le VIH, éducation nutritionnelle aux PVV, aux coinfections VIH/Hépatites/Diabètes/TB au niveau communautaire</t>
  </si>
  <si>
    <t xml:space="preserve">Renforcer la fonctionnalité du groupe de travail sur la prise en charge </t>
  </si>
  <si>
    <t>Organiser une revue annuelle nationale bilan et de concertation sur le passage à l'échelle de la CV et EID</t>
  </si>
  <si>
    <t>Elaboration du circuit des patients ( tri, répartition en fonction du tableau clinique) des sites de référence</t>
  </si>
  <si>
    <t>Elaborer les guides sur l'annonce des résultats, l'accompagnement psychosocial, éducation thérapeutique et la transition des enfants</t>
  </si>
  <si>
    <t>Organiser l'atelier de validation des guides sur l'annonce des résultats, l'accompagnement psychosocial, éducation thérapeutique et la transition des enfants</t>
  </si>
  <si>
    <t xml:space="preserve">Réaliser le monitorage semestriel de la file active dans les structures de PECP </t>
  </si>
  <si>
    <t xml:space="preserve">Elaborer un manuel de procédure opérationnelle pour la prévention et la prise en charge  du VIH avancé (admission, référence, suivi, sortie, référence et contre référence) </t>
  </si>
  <si>
    <t xml:space="preserve">Produire et diffuser les supports d’ informations pour les accompagnants, patients et les soignants </t>
  </si>
  <si>
    <t>Elaboration du circuit des patients ( tri, répartition en fonction du tableau clinique) des sites secondaires</t>
  </si>
  <si>
    <t>Assurer le règlement des salaires des chauffeurs du PSLSH</t>
  </si>
  <si>
    <t>Appuyer le fonctionnement du PSLSH</t>
  </si>
  <si>
    <t>Payer l'assurance et les frais administratifs des véhicule 4x4 pour la supervision du PSLSH/IST</t>
  </si>
  <si>
    <t>Assurer la connexion internet pour la saisie des données indiivuelle TB dans le tracker VIH  menssulle</t>
  </si>
  <si>
    <t>Développer une base de données Excel pour le suivi des renouvellements des TARV en pharmacie et former le personnel du PSLS.</t>
  </si>
  <si>
    <t>Organiser des coaching des prestataires dans les sites (sorties de tutorat et de coaching pour la mise en œuvre de la délégation des taches, le renforcement de la PEC, le suivi biologique, PEC des coinfections, la vérification des dossiers patients sous ARV et autres outils et les mettre à jour, 
mettre en place un système gestion des rendez-vous pour la réalisation et le suivi de la CV, appuyer les prestataires dans d’identification et dépistage des enfants exposés et de la fratrie des personnes sous ARV)</t>
  </si>
  <si>
    <t>  Assurer régulièrement les primes de performances mensuels aux agents du PSLSH/PTME chaque année</t>
  </si>
  <si>
    <t>Assurer l'assurance maladie du personnel de PSLSH</t>
  </si>
  <si>
    <t xml:space="preserve">Janvier </t>
  </si>
  <si>
    <t>Fevrier</t>
  </si>
  <si>
    <t>TOTAL  Dépenses Engagées</t>
  </si>
  <si>
    <t xml:space="preserve">Taux </t>
  </si>
  <si>
    <t xml:space="preserve"> </t>
  </si>
  <si>
    <t>Réport Solde Mois de Janvier 2025</t>
  </si>
  <si>
    <t>activités SENAFET 2025</t>
  </si>
  <si>
    <t>Frais de participation formation sur le nouveau produit équipement et de biocentric</t>
  </si>
  <si>
    <t>OV-006/2025</t>
  </si>
  <si>
    <t>CH2L3</t>
  </si>
  <si>
    <t>CH8L3</t>
  </si>
  <si>
    <t>CHP16L3</t>
  </si>
  <si>
    <t>Paiement des factures de réparation et d'entretien d'un véhicule du Programme</t>
  </si>
  <si>
    <t>ov-0042/25</t>
  </si>
  <si>
    <t>CH17L2</t>
  </si>
  <si>
    <t>Paiement de salaire des agents médecins mois de février 2025</t>
  </si>
  <si>
    <t>CH1L10</t>
  </si>
  <si>
    <t>Réparation des véhicules AP6871V et AP7881C</t>
  </si>
  <si>
    <t>CHP1L5A10</t>
  </si>
  <si>
    <t>Réparation de véhicule AP6928C</t>
  </si>
  <si>
    <t>CH1L1A1</t>
  </si>
  <si>
    <t>Achat fournitures de bureaux</t>
  </si>
  <si>
    <t>CH1L5A10</t>
  </si>
  <si>
    <t>Frais d'entretien et de metenance du véhicule AP6870V</t>
  </si>
  <si>
    <t>CH2L1</t>
  </si>
  <si>
    <t>Frais gardiennage mois de fevriér</t>
  </si>
  <si>
    <t>CH3L2</t>
  </si>
  <si>
    <t>Achat des matériaux pour aménagement de parking</t>
  </si>
  <si>
    <t xml:space="preserve">Frais de réparation des véhicule AP 6928C </t>
  </si>
  <si>
    <t>Dotation en carburant mois de février 2025</t>
  </si>
  <si>
    <t>CH1L1A3</t>
  </si>
  <si>
    <t>OV1090</t>
  </si>
  <si>
    <t>CH1L2A1</t>
  </si>
  <si>
    <t>Achat de fourniture de bureau et matériel informatique</t>
  </si>
  <si>
    <t>OV008/25</t>
  </si>
  <si>
    <t>CH12L1</t>
  </si>
  <si>
    <t>Frais de location de véhicule de mission</t>
  </si>
  <si>
    <t>OV1089/25</t>
  </si>
  <si>
    <t>CH2L5</t>
  </si>
  <si>
    <t>Achat des matériels electrique</t>
  </si>
  <si>
    <t>OV1088/25</t>
  </si>
  <si>
    <t>Frais d'achat de matériel electrique</t>
  </si>
  <si>
    <t>OV00/25</t>
  </si>
  <si>
    <t>Frais de commande des dossiers des patiens</t>
  </si>
  <si>
    <t>Frais d'achat de spérilune</t>
  </si>
  <si>
    <t>OV000/25</t>
  </si>
  <si>
    <t>CHP1L5A11</t>
  </si>
  <si>
    <t>Réparation de véhicule AP6871C</t>
  </si>
  <si>
    <t>Frais de location de véhicule</t>
  </si>
  <si>
    <t>Compte des Opérations de Dépenses et suivi des transactions mensuelles PSLS/IST JUIN 2025</t>
  </si>
  <si>
    <t>Compte des Opérations de Dépenses et suivi des transactions mensuelles PSLS/IST MAI 2025</t>
  </si>
  <si>
    <t>Compte des Opérations de Dépenses et suivi des transactions mensuelles PSLS/IST AVRIL 2025</t>
  </si>
  <si>
    <t>MAHAMAT IDRISS MOLLI</t>
  </si>
  <si>
    <t>ADOUM NAKOUR</t>
  </si>
  <si>
    <t>frais de célébraton de la SENAFB78:G85025</t>
  </si>
  <si>
    <t>Dotation en carburant pour le moi de mars</t>
  </si>
  <si>
    <t>03/04/02025</t>
  </si>
  <si>
    <t>Installation de dispositif sécuritaire cameras de surveillance</t>
  </si>
  <si>
    <t>DAGACHA</t>
  </si>
  <si>
    <t>Frais d'atelier de validation eleboration module de formation PVV</t>
  </si>
  <si>
    <t>ACHTA ABDELKERIM AHMAT</t>
  </si>
  <si>
    <t>Construction des bureau</t>
  </si>
  <si>
    <t>MOURRAH CONSTRUCTION</t>
  </si>
  <si>
    <t>EPHATTA SERVICE</t>
  </si>
  <si>
    <t>Dératisation de deux bloc administratifs et netoyage plafonnier</t>
  </si>
  <si>
    <t>insersion d'une pagepublicitaire PSLSH/IST</t>
  </si>
  <si>
    <t>NOVA COMMUNICATION</t>
  </si>
  <si>
    <t>MARIAM ADM HOUNO NASSOUR</t>
  </si>
  <si>
    <t>Total des Décaissement mois de AVRIL 2025</t>
  </si>
  <si>
    <t>TOTAL DES OPERATION MARS 2025</t>
  </si>
  <si>
    <t>Réport solde du mois de mars</t>
  </si>
  <si>
    <t>Réport solde du mois de Avril</t>
  </si>
  <si>
    <t>Frais de transport au profit des participants résidents à l'atelier de priorisation des activités de la subvention GC7</t>
  </si>
  <si>
    <t>Avance pour les frais de démarrage 50% du cout total pour accompagner le PSLSH/IST dans l'utilisation efficace de la palteforme DHIS2</t>
  </si>
  <si>
    <t>FADENE LAKINE</t>
  </si>
  <si>
    <t>Frais d'entretien du groupe electrogene du PSLSH/IST</t>
  </si>
  <si>
    <t>Achat de fournitures de bureau pour le PSLSH/IST</t>
  </si>
  <si>
    <t xml:space="preserve">Ord </t>
  </si>
  <si>
    <t>SOCIETE AVALAR COMPANY</t>
  </si>
  <si>
    <t>Achat des antiviruse Kaspersky 2025</t>
  </si>
  <si>
    <t>NDINGAMADJI NDILRE</t>
  </si>
  <si>
    <t>Paiement de salaires medecin coache du moi de mars</t>
  </si>
  <si>
    <t>AWADIA TAHIR LWDIE</t>
  </si>
  <si>
    <t>Achat de table de bureau de 160 avec 3 tiroirs</t>
  </si>
  <si>
    <t>MAHAMAT MAHAMAT ABAKAR</t>
  </si>
  <si>
    <t>Achat des climatiseurs bureau</t>
  </si>
  <si>
    <t>Ets SPEAK EASY</t>
  </si>
  <si>
    <t>Impression des carnets de consultations foraines d'Abena, d'Atroine</t>
  </si>
  <si>
    <t>HIKDJOLBO GONZABO</t>
  </si>
  <si>
    <t>Frais de formation aux outils es gestions financiers et budgetaire</t>
  </si>
  <si>
    <t>HALIMA DJIDDOU HISEIN</t>
  </si>
  <si>
    <t>Avance pour l'organisation de l'activité de depistage du VIH, des Hépatites virales</t>
  </si>
  <si>
    <t>WELBA DAINDOUWE</t>
  </si>
  <si>
    <t>Avance de démarrage 20% pour l'élaboration d'un guide de la prise en charge IST</t>
  </si>
  <si>
    <t>MAHAMAT ALI BOLTI</t>
  </si>
  <si>
    <t>Avance pour les frais de démarrage de 50% du cout total pour accompagner le PSLSH/IST dans l'utilisation efficace de la plateforme DHIS2</t>
  </si>
  <si>
    <t>GUELWODJI ARSENE</t>
  </si>
  <si>
    <t>Frais de dotation de carburant mensuel du PSLSH/IST pour le mois d'Avril 2025</t>
  </si>
  <si>
    <t>Paiement cumulés des factures d'entretiens de moyens roulant PSLSH/IST</t>
  </si>
  <si>
    <t>Frais de production de film court metrage sur le VIH/SIDA</t>
  </si>
  <si>
    <t>CAMPAGNIE ARTISTIQUE HASSAN DJAMOUS</t>
  </si>
  <si>
    <t>Avance pour la mise en œuvre des activités T1 et T2 du centre espoire de vie</t>
  </si>
  <si>
    <t>CENTRE ESPOIR DE VIE</t>
  </si>
  <si>
    <t>Frais de formation sur la preparation sur les projets et programmes</t>
  </si>
  <si>
    <t>Total des Décaissement mois de Mai 2025</t>
  </si>
  <si>
    <t>TOTAL DES OPERATION MAI 2025</t>
  </si>
  <si>
    <t>Compte des Opérations de Dépenses et suivi des transactions mensuelles PSLS/IST Décembre 2025</t>
  </si>
  <si>
    <t xml:space="preserve">Frais de participation atelier regional  d'autonomisation </t>
  </si>
  <si>
    <t>ord</t>
  </si>
  <si>
    <t>Dr DJIBERT AHAMAT HALIKI</t>
  </si>
  <si>
    <t>Remboursement des ecrats des factures sub NFM2</t>
  </si>
  <si>
    <t>Ord</t>
  </si>
  <si>
    <t>UNITE DE GESTION DE PROJET</t>
  </si>
  <si>
    <t xml:space="preserve">Frais de supervision des site de prise en charge des provinces prioritaires </t>
  </si>
  <si>
    <t>Frais du au reglement des factures relative au achat de fourniture de bureau</t>
  </si>
  <si>
    <t>Frais de supervision des site de réalisation de la charge virale</t>
  </si>
  <si>
    <t>HADJARA SOULOUM</t>
  </si>
  <si>
    <t>Frais d'entretien de véhicule de liaison PSLSH/IST</t>
  </si>
  <si>
    <t>GAGARA AOUZOU AUTO</t>
  </si>
  <si>
    <t>Appui institutionnelle au prot de CNLS</t>
  </si>
  <si>
    <t>achat des ordinateurs et disques durs</t>
  </si>
  <si>
    <t>NSANA GLOBAL COMMERCIAL</t>
  </si>
  <si>
    <t>Dotation du carburant du mois de mai</t>
  </si>
  <si>
    <t>Entretien et maintenance des materiels informatique et technique du PSLSH/IST</t>
  </si>
  <si>
    <t>SOCIETE CONSEILS EXPERTISE</t>
  </si>
  <si>
    <t>Achat des matériaux pour aménagement parking</t>
  </si>
  <si>
    <t>SALADINE MAHAMAT BACHAR</t>
  </si>
  <si>
    <t>Achat des fournitures de bureau pour le PSLSH/IST</t>
  </si>
  <si>
    <t>KOUBRIS INTERNATIONNAL</t>
  </si>
  <si>
    <t>Conception et impression des cahets automatique et cartes de visites</t>
  </si>
  <si>
    <t>SOCIETE MOURZONGUI</t>
  </si>
  <si>
    <t>TOTAL DES OPERATION AVRIL  2025</t>
  </si>
  <si>
    <t>Total des Décaissement mois de juin 2025</t>
  </si>
  <si>
    <t>Compte des Opérations de Dépenses et suivi des transactions mensuelles PSLS/IST Juillet 2025</t>
  </si>
  <si>
    <t>Compte des Opérations de Dépenses et suivi des transactions mensuelles PSLS/IST Aout 2025</t>
  </si>
  <si>
    <t>Total des Décaissement mois de Aout  2025</t>
  </si>
  <si>
    <t>Total des Décaissement mois de Juillet 2025</t>
  </si>
  <si>
    <t>Achat des fournitures de bureau</t>
  </si>
  <si>
    <t>Ets TAHIR CHERIF YOUSSOUF</t>
  </si>
  <si>
    <t>Ets HISSEIN HASSANA</t>
  </si>
  <si>
    <t>Frais de restauration atelirs subvention GC7</t>
  </si>
  <si>
    <t xml:space="preserve">HOTEL AMITIE </t>
  </si>
  <si>
    <t>Frais de resparation d'un ordinatuer</t>
  </si>
  <si>
    <t>SALEH HAMID SOUGUI</t>
  </si>
  <si>
    <t>frais d'installation et paramétrage de la base des données PSLSH/IST</t>
  </si>
  <si>
    <t>ADAMOU ABDOULAYE</t>
  </si>
  <si>
    <t>Frais de maintenace des véhicules</t>
  </si>
  <si>
    <t>GARAGE EXPERIENCE</t>
  </si>
  <si>
    <t>Achat  de materiels électrique et leurs installations dans les nouveaux bueraux,</t>
  </si>
  <si>
    <t>Frais de maintenace electrique</t>
  </si>
  <si>
    <t>HISSEIN HASSAN</t>
  </si>
  <si>
    <t>Frais de tirage de câble réseau dans les différents bureaux</t>
  </si>
  <si>
    <t>CHAMP ELYSEE</t>
  </si>
  <si>
    <t>Avance frais de mission de supervision formatives integrée des activités de PEC dans le Gurea, Ouaddai et Wadi-Fira</t>
  </si>
  <si>
    <t>ALAIN NAHASKIDA</t>
  </si>
  <si>
    <t>Frais de dotation de carburant du personnel du PSLSH/IST pour le mois de Juin 2025</t>
  </si>
  <si>
    <t>GTC EXPERTISE GROUPE</t>
  </si>
  <si>
    <t>avance 50 % Contrat d'etude de conformité et archivage physique  et numérique des piéces compltable du PSLSH/IST</t>
  </si>
  <si>
    <t>Frais de Supervision dans les provinces prioritaires</t>
  </si>
  <si>
    <t>Frais d'organisation de la journée Mondiale de lutte contre les hépatites</t>
  </si>
  <si>
    <t>SADICK ABDERAMANE</t>
  </si>
  <si>
    <t>Paiement tout solde de fais de consultance pour l'elaboration de modules formatives</t>
  </si>
  <si>
    <t>Paiement des perdiem et frais de visa pour la conférence de haut niveau sur la triple elemination du VIH, de l'hépatites B et de la Syphilis</t>
  </si>
  <si>
    <t>DJIBERT AHMAT HALIKI</t>
  </si>
  <si>
    <t>Paiement des diverses factures d’entretien et de réparation véhicule</t>
  </si>
  <si>
    <t>Frais de mission de 15 sites de prise en charge du VIH à N’Djamena</t>
  </si>
  <si>
    <t>Achat de fourniture de bureau</t>
  </si>
  <si>
    <t>Achat d’un ordinateur bureautique HP</t>
  </si>
  <si>
    <t>Achat de coffre de fusible, câbles connecteurs et main-d’œuvres</t>
  </si>
  <si>
    <t>Redevance facture reprographie JMH 2025</t>
  </si>
  <si>
    <t>Frais de commémoration de la Journée mondiale de lutte contre les hépatites</t>
  </si>
  <si>
    <t>Frais impression de support médias JMH 2025</t>
  </si>
  <si>
    <t>Caravane de collecte, de transport et de diagnostic de la charge virale</t>
  </si>
  <si>
    <t>Dotation carburant mois de juillet 2025</t>
  </si>
  <si>
    <t>Frais de prise en charge pour un suivi médicale</t>
  </si>
  <si>
    <t>Frais Ateliers de validation du plan de communication PSLS</t>
  </si>
  <si>
    <t>Achat de fourniture de Bureau</t>
  </si>
  <si>
    <t>Achat des matériels électrique</t>
  </si>
  <si>
    <t>CH5345666</t>
  </si>
  <si>
    <t>CH5345679</t>
  </si>
  <si>
    <t>CH5345676</t>
  </si>
  <si>
    <t>CH5345680</t>
  </si>
  <si>
    <t>CH5345681</t>
  </si>
  <si>
    <t>CH5345684</t>
  </si>
  <si>
    <t>CH5345682</t>
  </si>
  <si>
    <t>CH5345685</t>
  </si>
  <si>
    <t>CH5345983</t>
  </si>
  <si>
    <t>CH5345686</t>
  </si>
  <si>
    <t>CH5345687</t>
  </si>
  <si>
    <t>CH5345688</t>
  </si>
  <si>
    <t>CH5345691</t>
  </si>
  <si>
    <t>CH5345690</t>
  </si>
  <si>
    <t>CH5345689</t>
  </si>
  <si>
    <t>GARAGE EVASION</t>
  </si>
  <si>
    <t>ZENJOUBA MAHAMAT</t>
  </si>
  <si>
    <t>SOCIÉTÉ AVAILAR CAMPANY</t>
  </si>
  <si>
    <t>YOUNOUS IDRISS</t>
  </si>
  <si>
    <t>ABAKAR MBOUDOU MOUTA</t>
  </si>
  <si>
    <t>BNK</t>
  </si>
  <si>
    <t>NUMERIX TCHAD</t>
  </si>
  <si>
    <t>BIANPAMBE SALOMON</t>
  </si>
  <si>
    <t>ETS HISSEIN HASSAN</t>
  </si>
  <si>
    <t>Réport solde du mois de Solde</t>
  </si>
  <si>
    <t>Total des Décaissement mois de septembre 2025</t>
  </si>
  <si>
    <t>Frais de prise en charge de participation a une conférence scientifique</t>
  </si>
  <si>
    <t>Frais de restauration atleir d'inventiare des intrants PTME</t>
  </si>
  <si>
    <t xml:space="preserve">achat Ordinateur fixe all in one, meubles de rangement en bois tapis de bureau, </t>
  </si>
  <si>
    <t>UNIVERSAL</t>
  </si>
  <si>
    <t xml:space="preserve">Frais de dotation de carburant du mois D'Aout </t>
  </si>
  <si>
    <t>Frais de financement UNICEF</t>
  </si>
  <si>
    <t>Frais de deratisation et netoyage du bureau</t>
  </si>
  <si>
    <t>EPHATTA</t>
  </si>
  <si>
    <t xml:space="preserve">Avance frais de participation à la formation sur le management responsables </t>
  </si>
  <si>
    <t>Avance frais de participation à la formation sur le suivi-evaluation des projets et programmes de santé</t>
  </si>
  <si>
    <t>EMMANEUL ISSA</t>
  </si>
  <si>
    <t>Frais d'entretiens et divers de réparations de véhicule</t>
  </si>
  <si>
    <t>Achat des boites et impermeables pour les agents du PSLSH/IST</t>
  </si>
  <si>
    <t>Achat des adaptateur RJ fantôme</t>
  </si>
  <si>
    <t>Frais de demolotion et de remplacmetnt du plafond</t>
  </si>
  <si>
    <t>Compte des Opérations de Dépenses et suivi des transactions mensuelles PSLS/IST spetembre  2025</t>
  </si>
  <si>
    <t>Compte des Opérations de Dépenses et suivi des transactions mensuelles PSLS/IST octobre 2025</t>
  </si>
  <si>
    <t>Total des Décaissement mois de octobre 025</t>
  </si>
  <si>
    <t>Compte des Opérations de Dépenses et suivi des transactions mensuelles PSLS/IST Novembre2025</t>
  </si>
  <si>
    <t>Total des Décaissement mois de novembre 2025</t>
  </si>
  <si>
    <t>Total des Décaissement mois de Décembre  2025</t>
  </si>
  <si>
    <t>Frais de maintenance de la plateforme GENEXPERT troisiemes trimestres 2025</t>
  </si>
  <si>
    <t>01/010/2025</t>
  </si>
  <si>
    <t>Frais de participation a la formation sur la cartoigraphie des risques dans la gestion des marchés publics</t>
  </si>
  <si>
    <t>ORD</t>
  </si>
  <si>
    <t>Frais de maintenance de la plateforme GENEXPERT deuxiemes trimestres 2025</t>
  </si>
  <si>
    <t>Achat de 3000 boites de siruline Angiline</t>
  </si>
  <si>
    <t>COOP SPURULINIER DU TCHAD</t>
  </si>
  <si>
    <t>Frais de maintenance de la plateforme GENEXPERT premier trimestre 2025</t>
  </si>
  <si>
    <t>achat des ordinateurs portables</t>
  </si>
  <si>
    <t>Frais de mission de supervision trimestriuelle Moundou Doba, Sarh</t>
  </si>
  <si>
    <t>Frais de mission de supervision trimestriuelle ndjamena, bongor, pala, lai</t>
  </si>
  <si>
    <t>BRAHIM DOUGOUS</t>
  </si>
  <si>
    <t>BAHRIMY HOULDJONG</t>
  </si>
  <si>
    <t>Frais de l'organisation des activités  de risposte contre le SIDA</t>
  </si>
  <si>
    <t>Frais contractuel de gardiennage du PSLSH/IST juillet 2025</t>
  </si>
  <si>
    <t>KGS</t>
  </si>
  <si>
    <t>Frais contractuel de gardiennage du PSLSH/IST AVRIL 2025</t>
  </si>
  <si>
    <t>Frais contractuel de gardiennage du PSLSH/IST JUIN 2025</t>
  </si>
  <si>
    <t>Frais de formation sur les parametre des indicateurs VIH</t>
  </si>
  <si>
    <t>HALIMA DJIDDOU</t>
  </si>
  <si>
    <t>Dotation de carburant du personnl du PSLSH/IST pour le mois de septembre</t>
  </si>
  <si>
    <t xml:space="preserve">Frais de rammages de ordures </t>
  </si>
  <si>
    <t>SCORE NADIF</t>
  </si>
  <si>
    <t>Frais de paiement de transport et carburant misson conjointe</t>
  </si>
  <si>
    <t xml:space="preserve">Frais de mision participation à la formation sur la comptabilité </t>
  </si>
  <si>
    <t>Frais Atelier de validation du guide sur l'annonce des résultats sur l'accompagnement psychosocial</t>
  </si>
  <si>
    <t>Asssistance Association des femmes</t>
  </si>
  <si>
    <t>ACHTA MOUSSA ISSA</t>
  </si>
  <si>
    <t>Ahcat des materiels electrique</t>
  </si>
  <si>
    <t>Frais d'entretiens et des reparations de moyens roulant</t>
  </si>
  <si>
    <t>GARAGE EVASION 62</t>
  </si>
  <si>
    <t>GARAGE EVASION 63</t>
  </si>
  <si>
    <t>GARAGE EVASION 64</t>
  </si>
  <si>
    <t>GARAGE EVASION 65</t>
  </si>
  <si>
    <t>Dotation de carburant pour le personnel du PSLSH/IST</t>
  </si>
  <si>
    <t>Frais d'elaboration de revision du manuel de procedure du PSLSH/IST</t>
  </si>
  <si>
    <t>Frais de participation à la conférence sur le SIDA</t>
  </si>
  <si>
    <t>ABBAS MOUSTAPHA</t>
  </si>
  <si>
    <t>NDOKAIN JONATHAN</t>
  </si>
  <si>
    <t>Frais de perdiem inventaire magazin</t>
  </si>
  <si>
    <t>DJIDDO NAKOUR</t>
  </si>
  <si>
    <t>Compte des Opérations d'Achat de medicament PSLS/IST  janvier Décembre 2025</t>
  </si>
  <si>
    <t>Achat de réactifs de depistage HBsAg et HCV HIV 1+2</t>
  </si>
  <si>
    <t>BIO PHARMA</t>
  </si>
  <si>
    <t>Achat de 425 boites de réactifs SD Bioloine</t>
  </si>
  <si>
    <t>CPA</t>
  </si>
  <si>
    <t>Achat des reactifs de depistage des syphilis et hépatites B/C</t>
  </si>
  <si>
    <t>Achat des cartouche GENEXPERT CV HIV 2 LOAD CE IVD</t>
  </si>
  <si>
    <t>Redevances CPA/Achat de medicamaent</t>
  </si>
  <si>
    <t>Compte des Opérations Des Ettas des salaires  PSLS/IST  Janvier-Décembre 2025</t>
  </si>
  <si>
    <t xml:space="preserve">Periodes </t>
  </si>
  <si>
    <t>salaires</t>
  </si>
  <si>
    <t>Indmenites</t>
  </si>
  <si>
    <t>total</t>
  </si>
  <si>
    <t>Janvier</t>
  </si>
  <si>
    <t>Mars</t>
  </si>
  <si>
    <t>Avril</t>
  </si>
  <si>
    <t>Mai</t>
  </si>
  <si>
    <t>Juin</t>
  </si>
  <si>
    <t>Juillet</t>
  </si>
  <si>
    <t>Août</t>
  </si>
  <si>
    <t>Septembre</t>
  </si>
  <si>
    <t>Octobre</t>
  </si>
  <si>
    <t>Novembre</t>
  </si>
  <si>
    <t>Décembre</t>
  </si>
  <si>
    <t>Pointage Budget 2026</t>
  </si>
  <si>
    <t>Conception Budget 2026</t>
  </si>
  <si>
    <t>TOTAL DES OPERATION NOVEMBRE 2025</t>
  </si>
  <si>
    <t>TOTAL DES OPERATION OCTOBRE 2025</t>
  </si>
  <si>
    <t>TOTAL DES OPERATION JUIN 2025</t>
  </si>
  <si>
    <t>TOTAL DES OPERATION JUILLET 2025</t>
  </si>
  <si>
    <t>TOTAL DES OPERATION AOUT 2025</t>
  </si>
  <si>
    <t>TOTAL DES OPERATION SEPTEMBRE  2025</t>
  </si>
  <si>
    <t>VRTSYTAC</t>
  </si>
  <si>
    <t>VERSEMENT TRESOR PUBLIC</t>
  </si>
  <si>
    <t>VRTSYSTAC</t>
  </si>
  <si>
    <t>VERSYTAC</t>
  </si>
  <si>
    <t>VERSEMENT NATIONS UNIES</t>
  </si>
  <si>
    <t>MT103</t>
  </si>
  <si>
    <t>SUBVENTION ETAT 2025</t>
  </si>
  <si>
    <t>VERSEMENT ADOUM NAKOUR</t>
  </si>
  <si>
    <t>VERSEMENT DIBERT AHMAT HALIKI</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</si>
</sst>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 _€_-;\-* #,##0\ _€_-;_-* &quot;-&quot;\ _€_-;_-@_-"/>
    <numFmt numFmtId="164" formatCode="_-* #,##0.00_-;\-* #,##0.00_-;_-* &quot;-&quot;??_-;_-@_-"/>
    <numFmt numFmtId="165" formatCode="_-* #,##0\ _€_-;\-* #,##0\ _€_-;_-* &quot;-&quot;??\ _€_-;_-@_-"/>
    <numFmt numFmtId="166" formatCode="_(* #,##0_);_(* \(#,##0\);_(* &quot;-&quot;_);_(@_)"/>
    <numFmt numFmtId="167" formatCode="#,##0\ _€"/>
  </numFmts>
  <fonts count="63" x14ac:knownFonts="1">
    <font>
      <sz val="11"/>
      <color theme="1"/>
      <name val="Calibri"/>
      <family val="2"/>
      <scheme val="minor"/>
    </font>
    <font>
      <sz val="11"/>
      <color theme="1"/>
      <name val="Calibri"/>
      <family val="2"/>
      <scheme val="minor"/>
    </font>
    <font>
      <b/>
      <sz val="11"/>
      <color rgb="FF3F3F3F"/>
      <name val="Calibri"/>
      <family val="2"/>
      <scheme val="minor"/>
    </font>
    <font>
      <b/>
      <sz val="12"/>
      <color theme="1"/>
      <name val="Arial Narrow"/>
      <family val="2"/>
    </font>
    <font>
      <b/>
      <sz val="12"/>
      <name val="Arial Narrow"/>
      <family val="2"/>
    </font>
    <font>
      <b/>
      <sz val="11"/>
      <color theme="1"/>
      <name val="Calibri"/>
      <family val="2"/>
      <scheme val="minor"/>
    </font>
    <font>
      <sz val="11"/>
      <color theme="0"/>
      <name val="Calibri"/>
      <family val="2"/>
      <scheme val="minor"/>
    </font>
    <font>
      <b/>
      <sz val="14"/>
      <color theme="1"/>
      <name val="Times New Roman"/>
      <family val="1"/>
    </font>
    <font>
      <b/>
      <sz val="12"/>
      <color rgb="FF3F3F3F"/>
      <name val="Times New Roman"/>
      <family val="1"/>
    </font>
    <font>
      <b/>
      <sz val="12"/>
      <color theme="1"/>
      <name val="Times New Roman"/>
      <family val="1"/>
    </font>
    <font>
      <b/>
      <sz val="12"/>
      <name val="Times New Roman"/>
      <family val="1"/>
    </font>
    <font>
      <sz val="11"/>
      <color rgb="FF3F3F3F"/>
      <name val="Times New Roman"/>
      <family val="1"/>
    </font>
    <font>
      <sz val="11"/>
      <color rgb="FFFF0000"/>
      <name val="Times New Roman"/>
      <family val="1"/>
    </font>
    <font>
      <b/>
      <sz val="16"/>
      <color theme="0"/>
      <name val="Calibri"/>
      <family val="2"/>
      <scheme val="minor"/>
    </font>
    <font>
      <b/>
      <sz val="12"/>
      <color rgb="FF3F3F3F"/>
      <name val="Calibri"/>
      <family val="2"/>
      <scheme val="minor"/>
    </font>
    <font>
      <b/>
      <sz val="12"/>
      <name val="Calibri"/>
      <family val="2"/>
      <scheme val="minor"/>
    </font>
    <font>
      <b/>
      <sz val="11"/>
      <name val="Calibri"/>
      <family val="2"/>
      <scheme val="minor"/>
    </font>
    <font>
      <b/>
      <sz val="11"/>
      <color rgb="FF00B050"/>
      <name val="Calibri"/>
      <family val="2"/>
      <scheme val="minor"/>
    </font>
    <font>
      <sz val="12"/>
      <color rgb="FFFF0000"/>
      <name val="Calibri"/>
      <family val="2"/>
      <scheme val="minor"/>
    </font>
    <font>
      <b/>
      <sz val="11"/>
      <color theme="9" tint="-0.499984740745262"/>
      <name val="Calibri"/>
      <family val="2"/>
      <scheme val="minor"/>
    </font>
    <font>
      <sz val="12"/>
      <color theme="6"/>
      <name val="Calibri"/>
      <family val="2"/>
      <scheme val="minor"/>
    </font>
    <font>
      <sz val="12"/>
      <color theme="4" tint="-0.499984740745262"/>
      <name val="Calibri"/>
      <family val="2"/>
      <scheme val="minor"/>
    </font>
    <font>
      <sz val="12"/>
      <color rgb="FF3F3F3F"/>
      <name val="Calibri"/>
      <family val="2"/>
      <scheme val="minor"/>
    </font>
    <font>
      <b/>
      <sz val="11"/>
      <color rgb="FFFF0000"/>
      <name val="Calibri"/>
      <family val="2"/>
      <scheme val="minor"/>
    </font>
    <font>
      <b/>
      <sz val="11"/>
      <color rgb="FF7030A0"/>
      <name val="Calibri"/>
      <family val="2"/>
      <scheme val="minor"/>
    </font>
    <font>
      <sz val="12"/>
      <color theme="7" tint="-0.499984740745262"/>
      <name val="Calibri"/>
      <family val="2"/>
      <scheme val="minor"/>
    </font>
    <font>
      <sz val="12"/>
      <color rgb="FF00B050"/>
      <name val="Calibri"/>
      <family val="2"/>
      <scheme val="minor"/>
    </font>
    <font>
      <sz val="11"/>
      <color theme="9" tint="-0.499984740745262"/>
      <name val="Calibri"/>
      <family val="2"/>
      <scheme val="minor"/>
    </font>
    <font>
      <b/>
      <sz val="11"/>
      <color theme="6"/>
      <name val="Calibri"/>
      <family val="2"/>
      <scheme val="minor"/>
    </font>
    <font>
      <b/>
      <i/>
      <sz val="11"/>
      <color rgb="FFFFC000"/>
      <name val="Calibri"/>
      <family val="2"/>
      <scheme val="minor"/>
    </font>
    <font>
      <b/>
      <sz val="11"/>
      <color rgb="FFFFC000"/>
      <name val="Calibri"/>
      <family val="2"/>
      <scheme val="minor"/>
    </font>
    <font>
      <b/>
      <sz val="12"/>
      <color theme="0"/>
      <name val="Times New Roman"/>
      <family val="1"/>
    </font>
    <font>
      <sz val="12"/>
      <color theme="0"/>
      <name val="Times New Roman"/>
      <family val="1"/>
    </font>
    <font>
      <sz val="12"/>
      <color rgb="FF3F3F3F"/>
      <name val="Times New Roman"/>
      <family val="1"/>
    </font>
    <font>
      <sz val="12"/>
      <color rgb="FFFF0000"/>
      <name val="Times New Roman"/>
      <family val="1"/>
    </font>
    <font>
      <sz val="12"/>
      <name val="Times New Roman"/>
      <family val="1"/>
    </font>
    <font>
      <sz val="12"/>
      <color rgb="FF00B050"/>
      <name val="Times New Roman"/>
      <family val="1"/>
    </font>
    <font>
      <b/>
      <sz val="11"/>
      <name val="Times New Roman"/>
      <family val="1"/>
    </font>
    <font>
      <sz val="11"/>
      <name val="Times New Roman"/>
      <family val="1"/>
    </font>
    <font>
      <b/>
      <sz val="11"/>
      <color rgb="FFFF0000"/>
      <name val="Times New Roman"/>
      <family val="1"/>
    </font>
    <font>
      <b/>
      <sz val="11"/>
      <color theme="1"/>
      <name val="Times New Roman"/>
      <family val="1"/>
    </font>
    <font>
      <sz val="11"/>
      <color theme="1"/>
      <name val="Times New Roman"/>
      <family val="1"/>
    </font>
    <font>
      <sz val="18"/>
      <color theme="1"/>
      <name val="Calibri"/>
      <family val="2"/>
      <scheme val="minor"/>
    </font>
    <font>
      <b/>
      <sz val="18"/>
      <color theme="0"/>
      <name val="Times New Roman"/>
      <family val="1"/>
    </font>
    <font>
      <sz val="12"/>
      <color theme="1"/>
      <name val="Times New Roman"/>
      <family val="1"/>
    </font>
    <font>
      <b/>
      <sz val="16"/>
      <color theme="1"/>
      <name val="Times New Roman"/>
      <family val="1"/>
    </font>
    <font>
      <sz val="16"/>
      <color theme="1"/>
      <name val="Times New Roman"/>
      <family val="1"/>
    </font>
    <font>
      <sz val="14"/>
      <color theme="1"/>
      <name val="Times New Roman"/>
      <family val="1"/>
    </font>
    <font>
      <b/>
      <sz val="16"/>
      <color theme="0"/>
      <name val="Times New Roman"/>
      <family val="1"/>
    </font>
    <font>
      <b/>
      <sz val="20"/>
      <color rgb="FF3F3F3F"/>
      <name val="Times New Roman"/>
      <family val="1"/>
    </font>
    <font>
      <b/>
      <sz val="11"/>
      <color rgb="FF3F3F3F"/>
      <name val="Times New Roman"/>
      <family val="1"/>
    </font>
    <font>
      <b/>
      <sz val="11"/>
      <color rgb="FF00B050"/>
      <name val="Times New Roman"/>
      <family val="1"/>
    </font>
    <font>
      <b/>
      <sz val="12"/>
      <color rgb="FF00B050"/>
      <name val="Times New Roman"/>
      <family val="1"/>
    </font>
    <font>
      <sz val="12"/>
      <color theme="9" tint="-0.499984740745262"/>
      <name val="Times New Roman"/>
      <family val="1"/>
    </font>
    <font>
      <b/>
      <sz val="12"/>
      <color theme="9" tint="-0.499984740745262"/>
      <name val="Times New Roman"/>
      <family val="1"/>
    </font>
    <font>
      <b/>
      <sz val="11"/>
      <color rgb="FF0070C0"/>
      <name val="Times New Roman"/>
      <family val="1"/>
    </font>
    <font>
      <sz val="11"/>
      <color rgb="FFFF0000"/>
      <name val="Calibri"/>
      <family val="2"/>
      <scheme val="minor"/>
    </font>
    <font>
      <sz val="10"/>
      <name val="Arial"/>
      <family val="2"/>
    </font>
    <font>
      <sz val="11"/>
      <color indexed="8"/>
      <name val="Times New Roman"/>
      <family val="1"/>
    </font>
    <font>
      <b/>
      <sz val="12"/>
      <color rgb="FF000000"/>
      <name val="Times New Roman"/>
      <family val="1"/>
    </font>
    <font>
      <sz val="11"/>
      <color theme="9"/>
      <name val="Times New Roman"/>
      <family val="1"/>
    </font>
    <font>
      <b/>
      <sz val="11"/>
      <color rgb="FFFA7D00"/>
      <name val="Calibri"/>
      <family val="2"/>
      <scheme val="minor"/>
    </font>
    <font>
      <sz val="8"/>
      <name val="Calibri"/>
      <family val="2"/>
      <scheme val="minor"/>
    </font>
  </fonts>
  <fills count="23">
    <fill>
      <patternFill patternType="none"/>
    </fill>
    <fill>
      <patternFill patternType="gray125"/>
    </fill>
    <fill>
      <patternFill patternType="solid">
        <fgColor rgb="FFF2F2F2"/>
      </patternFill>
    </fill>
    <fill>
      <patternFill patternType="solid">
        <fgColor theme="2" tint="-0.249977111117893"/>
        <bgColor indexed="64"/>
      </patternFill>
    </fill>
    <fill>
      <patternFill patternType="solid">
        <fgColor theme="0" tint="-0.499984740745262"/>
        <bgColor indexed="64"/>
      </patternFill>
    </fill>
    <fill>
      <patternFill patternType="solid">
        <fgColor theme="4"/>
      </patternFill>
    </fill>
    <fill>
      <patternFill patternType="solid">
        <fgColor rgb="FF0070C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8"/>
        <bgColor indexed="64"/>
      </patternFill>
    </fill>
    <fill>
      <patternFill patternType="solid">
        <fgColor theme="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rgb="FFE2EFDA"/>
        <bgColor rgb="FF000000"/>
      </patternFill>
    </fill>
    <fill>
      <patternFill patternType="solid">
        <fgColor theme="9"/>
        <bgColor indexed="64"/>
      </patternFill>
    </fill>
    <fill>
      <patternFill patternType="solid">
        <fgColor theme="8"/>
        <bgColor rgb="FF000000"/>
      </patternFill>
    </fill>
    <fill>
      <patternFill patternType="solid">
        <fgColor theme="5" tint="0.79998168889431442"/>
        <bgColor rgb="FF000000"/>
      </patternFill>
    </fill>
  </fills>
  <borders count="13">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bottom style="thin">
        <color rgb="FF3F3F3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right/>
      <top style="thin">
        <color rgb="FF3F3F3F"/>
      </top>
      <bottom/>
      <diagonal/>
    </border>
    <border>
      <left style="thin">
        <color rgb="FF7F7F7F"/>
      </left>
      <right style="thin">
        <color rgb="FF7F7F7F"/>
      </right>
      <top style="thin">
        <color rgb="FF7F7F7F"/>
      </top>
      <bottom style="thin">
        <color rgb="FF7F7F7F"/>
      </bottom>
      <diagonal/>
    </border>
  </borders>
  <cellStyleXfs count="7">
    <xf numFmtId="0" fontId="0" fillId="0" borderId="0"/>
    <xf numFmtId="164" fontId="1" fillId="0" borderId="0" applyFont="0" applyFill="0" applyBorder="0" applyAlignment="0" applyProtection="0"/>
    <xf numFmtId="0" fontId="2" fillId="2" borderId="1" applyNumberFormat="0" applyAlignment="0" applyProtection="0"/>
    <xf numFmtId="0" fontId="6" fillId="5" borderId="0" applyNumberFormat="0" applyBorder="0" applyAlignment="0" applyProtection="0"/>
    <xf numFmtId="166" fontId="1" fillId="0" borderId="0" applyFont="0" applyFill="0" applyBorder="0" applyAlignment="0" applyProtection="0"/>
    <xf numFmtId="0" fontId="57" fillId="0" borderId="0"/>
    <xf numFmtId="0" fontId="61" fillId="2" borderId="12" applyNumberFormat="0" applyAlignment="0" applyProtection="0"/>
  </cellStyleXfs>
  <cellXfs count="404">
    <xf numFmtId="0" fontId="0" fillId="0" borderId="0" xfId="0"/>
    <xf numFmtId="0" fontId="2" fillId="2" borderId="1" xfId="2"/>
    <xf numFmtId="14" fontId="2" fillId="2" borderId="1" xfId="2" applyNumberFormat="1"/>
    <xf numFmtId="3" fontId="2" fillId="2" borderId="1" xfId="2" applyNumberFormat="1"/>
    <xf numFmtId="0" fontId="3" fillId="3" borderId="2" xfId="0" applyFont="1" applyFill="1" applyBorder="1"/>
    <xf numFmtId="0" fontId="3" fillId="3" borderId="2" xfId="0" applyFont="1" applyFill="1" applyBorder="1" applyAlignment="1">
      <alignment horizontal="center" wrapText="1"/>
    </xf>
    <xf numFmtId="0" fontId="4" fillId="3" borderId="2" xfId="2" applyFont="1" applyFill="1" applyBorder="1" applyAlignment="1">
      <alignment horizontal="center"/>
    </xf>
    <xf numFmtId="0" fontId="2" fillId="2" borderId="1" xfId="2" applyAlignment="1">
      <alignment vertical="center"/>
    </xf>
    <xf numFmtId="0" fontId="2" fillId="2" borderId="1" xfId="2" applyAlignment="1">
      <alignment wrapText="1"/>
    </xf>
    <xf numFmtId="0" fontId="0" fillId="0" borderId="0" xfId="0" applyAlignment="1">
      <alignment wrapText="1"/>
    </xf>
    <xf numFmtId="14" fontId="3" fillId="3" borderId="2" xfId="0" applyNumberFormat="1" applyFont="1" applyFill="1" applyBorder="1" applyAlignment="1">
      <alignment horizontal="right"/>
    </xf>
    <xf numFmtId="0" fontId="2" fillId="2" borderId="1" xfId="2" applyAlignment="1">
      <alignment horizontal="right"/>
    </xf>
    <xf numFmtId="0" fontId="0" fillId="0" borderId="0" xfId="0" applyAlignment="1">
      <alignment horizontal="right"/>
    </xf>
    <xf numFmtId="0" fontId="8" fillId="3" borderId="2" xfId="2" applyFont="1" applyFill="1" applyBorder="1" applyAlignment="1">
      <alignment horizontal="center"/>
    </xf>
    <xf numFmtId="0" fontId="9" fillId="3" borderId="2" xfId="0" applyFont="1" applyFill="1" applyBorder="1"/>
    <xf numFmtId="14" fontId="9" fillId="3" borderId="2" xfId="0" applyNumberFormat="1" applyFont="1" applyFill="1" applyBorder="1" applyAlignment="1">
      <alignment horizontal="right"/>
    </xf>
    <xf numFmtId="0" fontId="9" fillId="3" borderId="2" xfId="0" applyFont="1" applyFill="1" applyBorder="1" applyAlignment="1">
      <alignment horizontal="center" wrapText="1"/>
    </xf>
    <xf numFmtId="0" fontId="10" fillId="3" borderId="2" xfId="2" applyFont="1" applyFill="1" applyBorder="1" applyAlignment="1">
      <alignment horizontal="center"/>
    </xf>
    <xf numFmtId="14" fontId="11" fillId="2" borderId="1" xfId="2" applyNumberFormat="1" applyFont="1" applyAlignment="1">
      <alignment vertical="center" wrapText="1"/>
    </xf>
    <xf numFmtId="0" fontId="11" fillId="2" borderId="1" xfId="2" applyFont="1" applyAlignment="1">
      <alignment horizontal="right" vertical="center" wrapText="1"/>
    </xf>
    <xf numFmtId="0" fontId="11" fillId="2" borderId="1" xfId="2" applyFont="1" applyAlignment="1">
      <alignment vertical="center" wrapText="1"/>
    </xf>
    <xf numFmtId="14" fontId="11" fillId="2" borderId="3" xfId="2" applyNumberFormat="1" applyFont="1" applyBorder="1" applyAlignment="1">
      <alignment vertical="center"/>
    </xf>
    <xf numFmtId="14" fontId="11" fillId="2" borderId="3" xfId="2" applyNumberFormat="1" applyFont="1" applyBorder="1" applyAlignment="1">
      <alignment horizontal="right" vertical="center"/>
    </xf>
    <xf numFmtId="0" fontId="11" fillId="2" borderId="3" xfId="2" applyFont="1" applyBorder="1" applyAlignment="1">
      <alignment horizontal="left" vertical="center" wrapText="1"/>
    </xf>
    <xf numFmtId="165" fontId="11" fillId="2" borderId="3" xfId="2" applyNumberFormat="1" applyFont="1" applyBorder="1" applyAlignment="1">
      <alignment horizontal="center" vertical="center"/>
    </xf>
    <xf numFmtId="3" fontId="11" fillId="2" borderId="1" xfId="2" applyNumberFormat="1" applyFont="1" applyAlignment="1">
      <alignment vertical="center"/>
    </xf>
    <xf numFmtId="165" fontId="11" fillId="2" borderId="1" xfId="2" applyNumberFormat="1" applyFont="1" applyAlignment="1">
      <alignment vertical="center"/>
    </xf>
    <xf numFmtId="14" fontId="11" fillId="2" borderId="1" xfId="2" applyNumberFormat="1" applyFont="1" applyAlignment="1">
      <alignment vertical="center"/>
    </xf>
    <xf numFmtId="0" fontId="11" fillId="2" borderId="1" xfId="2" applyFont="1" applyAlignment="1">
      <alignment horizontal="right" vertical="center"/>
    </xf>
    <xf numFmtId="165" fontId="10" fillId="4" borderId="1" xfId="2" applyNumberFormat="1" applyFont="1" applyFill="1" applyAlignment="1">
      <alignment vertical="center"/>
    </xf>
    <xf numFmtId="3" fontId="10" fillId="4" borderId="1" xfId="2" applyNumberFormat="1" applyFont="1" applyFill="1" applyAlignment="1">
      <alignment vertical="center"/>
    </xf>
    <xf numFmtId="14" fontId="12" fillId="2" borderId="1" xfId="2" applyNumberFormat="1" applyFont="1" applyAlignment="1">
      <alignment vertical="center"/>
    </xf>
    <xf numFmtId="0" fontId="12" fillId="2" borderId="1" xfId="2" applyFont="1" applyAlignment="1">
      <alignment horizontal="right" vertical="center"/>
    </xf>
    <xf numFmtId="0" fontId="12" fillId="2" borderId="1" xfId="2" applyFont="1" applyAlignment="1">
      <alignment vertical="center" wrapText="1"/>
    </xf>
    <xf numFmtId="3" fontId="12" fillId="2" borderId="1" xfId="2" applyNumberFormat="1" applyFont="1" applyAlignment="1">
      <alignment vertical="center"/>
    </xf>
    <xf numFmtId="0" fontId="13" fillId="5" borderId="1" xfId="3" applyFont="1" applyBorder="1"/>
    <xf numFmtId="0" fontId="6" fillId="5" borderId="1" xfId="3" applyBorder="1"/>
    <xf numFmtId="0" fontId="13" fillId="5" borderId="0" xfId="3" applyFont="1"/>
    <xf numFmtId="0" fontId="2" fillId="2" borderId="1" xfId="2" applyAlignment="1">
      <alignment horizontal="right" vertical="center"/>
    </xf>
    <xf numFmtId="0" fontId="2" fillId="2" borderId="1" xfId="2" applyAlignment="1">
      <alignment horizontal="left"/>
    </xf>
    <xf numFmtId="3" fontId="14" fillId="2" borderId="1" xfId="2" applyNumberFormat="1" applyFont="1"/>
    <xf numFmtId="0" fontId="17" fillId="2" borderId="1" xfId="2" applyFont="1" applyAlignment="1">
      <alignment horizontal="right"/>
    </xf>
    <xf numFmtId="0" fontId="17" fillId="2" borderId="1" xfId="2" applyFont="1"/>
    <xf numFmtId="3" fontId="17" fillId="2" borderId="1" xfId="2" applyNumberFormat="1" applyFont="1"/>
    <xf numFmtId="3" fontId="18" fillId="2" borderId="1" xfId="2" applyNumberFormat="1" applyFont="1"/>
    <xf numFmtId="3" fontId="19" fillId="2" borderId="1" xfId="2" applyNumberFormat="1" applyFont="1"/>
    <xf numFmtId="3" fontId="20" fillId="2" borderId="1" xfId="2" applyNumberFormat="1" applyFont="1"/>
    <xf numFmtId="3" fontId="21" fillId="2" borderId="1" xfId="2" applyNumberFormat="1" applyFont="1"/>
    <xf numFmtId="3" fontId="22" fillId="2" borderId="1" xfId="2" applyNumberFormat="1" applyFont="1"/>
    <xf numFmtId="0" fontId="23" fillId="2" borderId="1" xfId="2" applyFont="1" applyAlignment="1">
      <alignment horizontal="right"/>
    </xf>
    <xf numFmtId="0" fontId="23" fillId="2" borderId="1" xfId="2" applyFont="1"/>
    <xf numFmtId="3" fontId="23" fillId="2" borderId="1" xfId="2" applyNumberFormat="1" applyFont="1"/>
    <xf numFmtId="3" fontId="24" fillId="2" borderId="1" xfId="2" applyNumberFormat="1" applyFont="1"/>
    <xf numFmtId="0" fontId="16" fillId="2" borderId="1" xfId="2" applyFont="1" applyAlignment="1">
      <alignment horizontal="right"/>
    </xf>
    <xf numFmtId="0" fontId="16" fillId="2" borderId="1" xfId="2" applyFont="1"/>
    <xf numFmtId="3" fontId="16" fillId="2" borderId="1" xfId="2" applyNumberFormat="1" applyFont="1"/>
    <xf numFmtId="3" fontId="25" fillId="2" borderId="1" xfId="2" applyNumberFormat="1" applyFont="1"/>
    <xf numFmtId="3" fontId="26" fillId="2" borderId="1" xfId="2" applyNumberFormat="1" applyFont="1"/>
    <xf numFmtId="3" fontId="28" fillId="2" borderId="1" xfId="2" applyNumberFormat="1" applyFont="1"/>
    <xf numFmtId="0" fontId="24" fillId="2" borderId="1" xfId="2" applyFont="1" applyAlignment="1">
      <alignment wrapText="1"/>
    </xf>
    <xf numFmtId="0" fontId="29" fillId="2" borderId="1" xfId="2" applyFont="1" applyAlignment="1">
      <alignment wrapText="1"/>
    </xf>
    <xf numFmtId="3" fontId="29" fillId="2" borderId="1" xfId="2" applyNumberFormat="1" applyFont="1"/>
    <xf numFmtId="0" fontId="30" fillId="2" borderId="1" xfId="2" applyFont="1" applyAlignment="1">
      <alignment wrapText="1"/>
    </xf>
    <xf numFmtId="3" fontId="30" fillId="2" borderId="1" xfId="2" applyNumberFormat="1" applyFont="1"/>
    <xf numFmtId="0" fontId="14" fillId="2" borderId="1" xfId="2" applyFont="1" applyAlignment="1">
      <alignment horizontal="right"/>
    </xf>
    <xf numFmtId="14" fontId="14" fillId="2" borderId="1" xfId="2" applyNumberFormat="1" applyFont="1"/>
    <xf numFmtId="0" fontId="5" fillId="0" borderId="0" xfId="0" applyFont="1"/>
    <xf numFmtId="0" fontId="14" fillId="2" borderId="1" xfId="2" applyFont="1" applyAlignment="1">
      <alignment wrapText="1"/>
    </xf>
    <xf numFmtId="3" fontId="15" fillId="2" borderId="1" xfId="2" applyNumberFormat="1" applyFont="1"/>
    <xf numFmtId="0" fontId="14" fillId="2" borderId="1" xfId="2" applyFont="1"/>
    <xf numFmtId="0" fontId="31" fillId="5" borderId="1" xfId="3" applyFont="1" applyBorder="1"/>
    <xf numFmtId="0" fontId="32" fillId="5" borderId="1" xfId="3" applyFont="1" applyBorder="1"/>
    <xf numFmtId="0" fontId="8" fillId="2" borderId="1" xfId="2" applyFont="1"/>
    <xf numFmtId="0" fontId="8" fillId="2" borderId="1" xfId="2" applyFont="1" applyAlignment="1">
      <alignment horizontal="center"/>
    </xf>
    <xf numFmtId="0" fontId="8" fillId="2" borderId="1" xfId="2" applyFont="1" applyAlignment="1">
      <alignment horizontal="center" wrapText="1"/>
    </xf>
    <xf numFmtId="3" fontId="8" fillId="2" borderId="1" xfId="2" applyNumberFormat="1" applyFont="1" applyAlignment="1">
      <alignment horizontal="center"/>
    </xf>
    <xf numFmtId="3" fontId="10" fillId="2" borderId="1" xfId="2" applyNumberFormat="1" applyFont="1" applyAlignment="1">
      <alignment horizontal="center"/>
    </xf>
    <xf numFmtId="0" fontId="8" fillId="2" borderId="1" xfId="2" applyFont="1" applyAlignment="1">
      <alignment horizontal="right"/>
    </xf>
    <xf numFmtId="0" fontId="31" fillId="5" borderId="0" xfId="3" applyFont="1"/>
    <xf numFmtId="14" fontId="33" fillId="2" borderId="3" xfId="2" applyNumberFormat="1" applyFont="1" applyBorder="1" applyAlignment="1">
      <alignment vertical="center"/>
    </xf>
    <xf numFmtId="14" fontId="33" fillId="2" borderId="3" xfId="2" applyNumberFormat="1" applyFont="1" applyBorder="1" applyAlignment="1">
      <alignment horizontal="right" vertical="center"/>
    </xf>
    <xf numFmtId="0" fontId="33" fillId="2" borderId="3" xfId="2" applyFont="1" applyBorder="1" applyAlignment="1">
      <alignment horizontal="left" vertical="center" wrapText="1"/>
    </xf>
    <xf numFmtId="165" fontId="33" fillId="2" borderId="3" xfId="2" applyNumberFormat="1" applyFont="1" applyBorder="1" applyAlignment="1">
      <alignment vertical="center"/>
    </xf>
    <xf numFmtId="165" fontId="33" fillId="2" borderId="3" xfId="2" applyNumberFormat="1" applyFont="1" applyBorder="1" applyAlignment="1">
      <alignment horizontal="center" vertical="center"/>
    </xf>
    <xf numFmtId="14" fontId="33" fillId="2" borderId="1" xfId="2" applyNumberFormat="1" applyFont="1" applyAlignment="1">
      <alignment vertical="center" wrapText="1"/>
    </xf>
    <xf numFmtId="0" fontId="33" fillId="2" borderId="1" xfId="2" applyFont="1" applyAlignment="1">
      <alignment horizontal="right" vertical="center" wrapText="1"/>
    </xf>
    <xf numFmtId="0" fontId="33" fillId="2" borderId="1" xfId="2" applyFont="1" applyAlignment="1">
      <alignment vertical="center" wrapText="1"/>
    </xf>
    <xf numFmtId="0" fontId="33" fillId="2" borderId="1" xfId="2" applyFont="1" applyAlignment="1">
      <alignment vertical="center"/>
    </xf>
    <xf numFmtId="3" fontId="33" fillId="2" borderId="1" xfId="2" applyNumberFormat="1" applyFont="1" applyAlignment="1">
      <alignment vertical="center"/>
    </xf>
    <xf numFmtId="165" fontId="33" fillId="2" borderId="1" xfId="2" applyNumberFormat="1" applyFont="1" applyAlignment="1">
      <alignment vertical="center"/>
    </xf>
    <xf numFmtId="14" fontId="33" fillId="2" borderId="1" xfId="2" applyNumberFormat="1" applyFont="1" applyAlignment="1">
      <alignment vertical="center"/>
    </xf>
    <xf numFmtId="0" fontId="33" fillId="2" borderId="1" xfId="2" applyFont="1" applyAlignment="1">
      <alignment horizontal="right" vertical="center"/>
    </xf>
    <xf numFmtId="14" fontId="34" fillId="2" borderId="1" xfId="2" applyNumberFormat="1" applyFont="1" applyAlignment="1">
      <alignment vertical="center"/>
    </xf>
    <xf numFmtId="0" fontId="34" fillId="2" borderId="1" xfId="2" applyFont="1" applyAlignment="1">
      <alignment horizontal="right" vertical="center"/>
    </xf>
    <xf numFmtId="0" fontId="34" fillId="2" borderId="1" xfId="2" applyFont="1" applyAlignment="1">
      <alignment vertical="center" wrapText="1"/>
    </xf>
    <xf numFmtId="0" fontId="34" fillId="2" borderId="1" xfId="2" applyFont="1" applyAlignment="1">
      <alignment vertical="center"/>
    </xf>
    <xf numFmtId="3" fontId="34" fillId="2" borderId="1" xfId="2" applyNumberFormat="1" applyFont="1" applyAlignment="1">
      <alignment vertical="center"/>
    </xf>
    <xf numFmtId="14" fontId="33" fillId="2" borderId="1" xfId="2" applyNumberFormat="1" applyFont="1"/>
    <xf numFmtId="0" fontId="33" fillId="2" borderId="1" xfId="2" applyFont="1" applyAlignment="1">
      <alignment horizontal="left" vertical="center"/>
    </xf>
    <xf numFmtId="3" fontId="33" fillId="2" borderId="1" xfId="2" applyNumberFormat="1" applyFont="1"/>
    <xf numFmtId="0" fontId="33" fillId="2" borderId="1" xfId="2" applyFont="1"/>
    <xf numFmtId="0" fontId="33" fillId="2" borderId="1" xfId="2" applyFont="1" applyAlignment="1">
      <alignment horizontal="right"/>
    </xf>
    <xf numFmtId="3" fontId="35" fillId="2" borderId="1" xfId="2" applyNumberFormat="1" applyFont="1" applyAlignment="1">
      <alignment horizontal="center" vertical="center"/>
    </xf>
    <xf numFmtId="0" fontId="36" fillId="2" borderId="1" xfId="2" applyFont="1" applyAlignment="1">
      <alignment horizontal="right" vertical="center"/>
    </xf>
    <xf numFmtId="0" fontId="36" fillId="2" borderId="1" xfId="2" applyFont="1" applyAlignment="1">
      <alignment vertical="center"/>
    </xf>
    <xf numFmtId="3" fontId="36" fillId="2" borderId="1" xfId="2" applyNumberFormat="1" applyFont="1" applyAlignment="1">
      <alignment vertical="center"/>
    </xf>
    <xf numFmtId="3" fontId="37" fillId="7" borderId="2" xfId="0" applyNumberFormat="1" applyFont="1" applyFill="1" applyBorder="1" applyAlignment="1">
      <alignment horizontal="center" vertical="center"/>
    </xf>
    <xf numFmtId="3" fontId="37" fillId="7" borderId="2" xfId="0" applyNumberFormat="1" applyFont="1" applyFill="1" applyBorder="1" applyAlignment="1">
      <alignment horizontal="center" vertical="center" wrapText="1"/>
    </xf>
    <xf numFmtId="14" fontId="37" fillId="7" borderId="2" xfId="0" applyNumberFormat="1" applyFont="1" applyFill="1" applyBorder="1" applyAlignment="1">
      <alignment horizontal="center" vertical="center" wrapText="1"/>
    </xf>
    <xf numFmtId="3" fontId="38" fillId="0" borderId="2" xfId="0" applyNumberFormat="1" applyFont="1" applyBorder="1" applyAlignment="1">
      <alignment horizontal="center" vertical="center"/>
    </xf>
    <xf numFmtId="3" fontId="38" fillId="0" borderId="2" xfId="2" applyNumberFormat="1" applyFont="1" applyFill="1" applyBorder="1" applyAlignment="1">
      <alignment horizontal="left" vertical="center" wrapText="1"/>
    </xf>
    <xf numFmtId="14" fontId="38" fillId="0" borderId="2" xfId="0" applyNumberFormat="1" applyFont="1" applyBorder="1" applyAlignment="1">
      <alignment horizontal="center" vertical="center" wrapText="1"/>
    </xf>
    <xf numFmtId="14" fontId="38" fillId="0" borderId="2" xfId="0" applyNumberFormat="1" applyFont="1" applyBorder="1" applyAlignment="1">
      <alignment horizontal="center" vertical="center"/>
    </xf>
    <xf numFmtId="3" fontId="38" fillId="0" borderId="2" xfId="0" applyNumberFormat="1" applyFont="1" applyBorder="1" applyAlignment="1">
      <alignment horizontal="center" vertical="center" wrapText="1"/>
    </xf>
    <xf numFmtId="3" fontId="40" fillId="10" borderId="2" xfId="0" applyNumberFormat="1" applyFont="1" applyFill="1" applyBorder="1" applyAlignment="1">
      <alignment horizontal="left" vertical="center" wrapText="1"/>
    </xf>
    <xf numFmtId="14" fontId="41" fillId="10" borderId="2" xfId="0" applyNumberFormat="1" applyFont="1" applyFill="1" applyBorder="1" applyAlignment="1">
      <alignment horizontal="center" vertical="center" wrapText="1"/>
    </xf>
    <xf numFmtId="14" fontId="41" fillId="10" borderId="2" xfId="0" applyNumberFormat="1" applyFont="1" applyFill="1" applyBorder="1" applyAlignment="1">
      <alignment horizontal="center" vertical="center"/>
    </xf>
    <xf numFmtId="3" fontId="40" fillId="10" borderId="2" xfId="0" applyNumberFormat="1" applyFont="1" applyFill="1" applyBorder="1" applyAlignment="1">
      <alignment horizontal="center" vertical="center" wrapText="1"/>
    </xf>
    <xf numFmtId="3" fontId="40" fillId="10" borderId="2" xfId="0" applyNumberFormat="1" applyFont="1" applyFill="1" applyBorder="1" applyAlignment="1">
      <alignment horizontal="center" vertical="center"/>
    </xf>
    <xf numFmtId="3" fontId="41" fillId="10" borderId="2" xfId="0" applyNumberFormat="1" applyFont="1" applyFill="1" applyBorder="1" applyAlignment="1">
      <alignment horizontal="center" vertical="center" wrapText="1"/>
    </xf>
    <xf numFmtId="3" fontId="41" fillId="7" borderId="2" xfId="0" applyNumberFormat="1" applyFont="1" applyFill="1" applyBorder="1" applyAlignment="1">
      <alignment horizontal="center" vertical="center"/>
    </xf>
    <xf numFmtId="3" fontId="40" fillId="7" borderId="2" xfId="0" applyNumberFormat="1" applyFont="1" applyFill="1" applyBorder="1" applyAlignment="1">
      <alignment horizontal="center" vertical="center" wrapText="1"/>
    </xf>
    <xf numFmtId="3" fontId="41" fillId="7" borderId="2" xfId="0" applyNumberFormat="1" applyFont="1" applyFill="1" applyBorder="1" applyAlignment="1">
      <alignment horizontal="center" vertical="center" wrapText="1"/>
    </xf>
    <xf numFmtId="3" fontId="39" fillId="0" borderId="2" xfId="2" applyNumberFormat="1" applyFont="1" applyFill="1" applyBorder="1" applyAlignment="1">
      <alignment horizontal="left" vertical="center" wrapText="1"/>
    </xf>
    <xf numFmtId="14" fontId="39" fillId="0" borderId="2" xfId="0" applyNumberFormat="1" applyFont="1" applyBorder="1" applyAlignment="1">
      <alignment horizontal="center" vertical="center" wrapText="1"/>
    </xf>
    <xf numFmtId="14" fontId="39" fillId="0" borderId="2" xfId="0" applyNumberFormat="1" applyFont="1" applyBorder="1" applyAlignment="1">
      <alignment horizontal="center" vertical="center"/>
    </xf>
    <xf numFmtId="3" fontId="39" fillId="0" borderId="2" xfId="0" applyNumberFormat="1" applyFont="1" applyBorder="1" applyAlignment="1">
      <alignment horizontal="center" vertical="center" wrapText="1"/>
    </xf>
    <xf numFmtId="0" fontId="42" fillId="0" borderId="0" xfId="0" applyFont="1"/>
    <xf numFmtId="0" fontId="40" fillId="0" borderId="2" xfId="0" applyFont="1" applyBorder="1" applyAlignment="1">
      <alignment horizontal="center"/>
    </xf>
    <xf numFmtId="0" fontId="40" fillId="0" borderId="2" xfId="0" applyFont="1" applyBorder="1" applyAlignment="1">
      <alignment horizontal="center" vertical="center"/>
    </xf>
    <xf numFmtId="3" fontId="40" fillId="0" borderId="2" xfId="0" applyNumberFormat="1" applyFont="1" applyBorder="1" applyAlignment="1">
      <alignment horizontal="center" vertical="center"/>
    </xf>
    <xf numFmtId="0" fontId="41" fillId="0" borderId="2" xfId="0" applyFont="1" applyBorder="1"/>
    <xf numFmtId="3" fontId="41" fillId="0" borderId="2" xfId="0" applyNumberFormat="1" applyFont="1" applyBorder="1" applyAlignment="1">
      <alignment horizontal="center"/>
    </xf>
    <xf numFmtId="3" fontId="41" fillId="0" borderId="2" xfId="0" applyNumberFormat="1" applyFont="1" applyBorder="1"/>
    <xf numFmtId="2" fontId="41" fillId="0" borderId="2" xfId="0" applyNumberFormat="1" applyFont="1" applyBorder="1"/>
    <xf numFmtId="0" fontId="44" fillId="11" borderId="2" xfId="0" applyFont="1" applyFill="1" applyBorder="1"/>
    <xf numFmtId="3" fontId="44" fillId="11" borderId="2" xfId="0" applyNumberFormat="1" applyFont="1" applyFill="1" applyBorder="1" applyAlignment="1">
      <alignment horizontal="center"/>
    </xf>
    <xf numFmtId="3" fontId="40" fillId="0" borderId="2" xfId="0" applyNumberFormat="1" applyFont="1" applyBorder="1" applyAlignment="1">
      <alignment horizontal="center"/>
    </xf>
    <xf numFmtId="0" fontId="41" fillId="0" borderId="2" xfId="0" applyFont="1" applyBorder="1" applyAlignment="1">
      <alignment vertical="center"/>
    </xf>
    <xf numFmtId="0" fontId="41" fillId="0" borderId="2" xfId="0" applyFont="1" applyBorder="1" applyAlignment="1">
      <alignment horizontal="center" vertical="center"/>
    </xf>
    <xf numFmtId="2" fontId="41" fillId="0" borderId="2" xfId="0" applyNumberFormat="1" applyFont="1" applyBorder="1" applyAlignment="1">
      <alignment horizontal="center"/>
    </xf>
    <xf numFmtId="0" fontId="40" fillId="0" borderId="2" xfId="0" applyFont="1" applyBorder="1"/>
    <xf numFmtId="2" fontId="40" fillId="0" borderId="2" xfId="0" applyNumberFormat="1" applyFont="1" applyBorder="1" applyAlignment="1">
      <alignment horizontal="center"/>
    </xf>
    <xf numFmtId="0" fontId="41" fillId="0" borderId="2" xfId="0" applyFont="1" applyBorder="1" applyAlignment="1">
      <alignment horizontal="center"/>
    </xf>
    <xf numFmtId="0" fontId="41" fillId="0" borderId="2" xfId="0" applyFont="1" applyBorder="1" applyAlignment="1">
      <alignment horizontal="right"/>
    </xf>
    <xf numFmtId="0" fontId="0" fillId="0" borderId="0" xfId="0" applyAlignment="1">
      <alignment horizontal="center"/>
    </xf>
    <xf numFmtId="3" fontId="0" fillId="0" borderId="0" xfId="0" applyNumberFormat="1" applyAlignment="1">
      <alignment horizontal="center"/>
    </xf>
    <xf numFmtId="0" fontId="40" fillId="13" borderId="2" xfId="0" applyFont="1" applyFill="1" applyBorder="1" applyAlignment="1">
      <alignment horizontal="center" vertical="center"/>
    </xf>
    <xf numFmtId="0" fontId="40" fillId="14" borderId="2" xfId="0" applyFont="1" applyFill="1" applyBorder="1" applyAlignment="1">
      <alignment horizontal="center" vertical="center"/>
    </xf>
    <xf numFmtId="3" fontId="40" fillId="14" borderId="2" xfId="0" applyNumberFormat="1" applyFont="1" applyFill="1" applyBorder="1" applyAlignment="1">
      <alignment horizontal="center" vertical="center"/>
    </xf>
    <xf numFmtId="0" fontId="40" fillId="15" borderId="2" xfId="0" applyFont="1" applyFill="1" applyBorder="1"/>
    <xf numFmtId="3" fontId="40" fillId="15" borderId="2" xfId="0" applyNumberFormat="1" applyFont="1" applyFill="1" applyBorder="1" applyAlignment="1">
      <alignment horizontal="center"/>
    </xf>
    <xf numFmtId="3" fontId="41" fillId="15" borderId="2" xfId="0" applyNumberFormat="1" applyFont="1" applyFill="1" applyBorder="1" applyAlignment="1">
      <alignment horizontal="center"/>
    </xf>
    <xf numFmtId="2" fontId="41" fillId="15" borderId="2" xfId="0" applyNumberFormat="1" applyFont="1" applyFill="1" applyBorder="1"/>
    <xf numFmtId="0" fontId="37" fillId="16" borderId="2" xfId="0" applyFont="1" applyFill="1" applyBorder="1" applyAlignment="1">
      <alignment horizontal="right"/>
    </xf>
    <xf numFmtId="0" fontId="37" fillId="16" borderId="2" xfId="0" applyFont="1" applyFill="1" applyBorder="1"/>
    <xf numFmtId="3" fontId="37" fillId="16" borderId="2" xfId="0" applyNumberFormat="1" applyFont="1" applyFill="1" applyBorder="1" applyAlignment="1">
      <alignment horizontal="center"/>
    </xf>
    <xf numFmtId="4" fontId="37" fillId="16" borderId="2" xfId="0" applyNumberFormat="1" applyFont="1" applyFill="1" applyBorder="1"/>
    <xf numFmtId="0" fontId="38" fillId="0" borderId="2" xfId="0" applyFont="1" applyBorder="1" applyAlignment="1">
      <alignment horizontal="right"/>
    </xf>
    <xf numFmtId="3" fontId="38" fillId="0" borderId="2" xfId="0" applyNumberFormat="1" applyFont="1" applyBorder="1" applyAlignment="1">
      <alignment horizontal="center"/>
    </xf>
    <xf numFmtId="4" fontId="37" fillId="0" borderId="2" xfId="0" applyNumberFormat="1" applyFont="1" applyBorder="1"/>
    <xf numFmtId="3" fontId="38" fillId="0" borderId="1" xfId="2" applyNumberFormat="1" applyFont="1" applyFill="1" applyAlignment="1">
      <alignment horizontal="center"/>
    </xf>
    <xf numFmtId="0" fontId="38" fillId="0" borderId="2" xfId="0" applyFont="1" applyBorder="1"/>
    <xf numFmtId="0" fontId="37" fillId="0" borderId="2" xfId="0" applyFont="1" applyBorder="1" applyAlignment="1">
      <alignment horizontal="right"/>
    </xf>
    <xf numFmtId="0" fontId="37" fillId="0" borderId="2" xfId="0" applyFont="1" applyBorder="1"/>
    <xf numFmtId="3" fontId="37" fillId="0" borderId="2" xfId="0" applyNumberFormat="1" applyFont="1" applyBorder="1" applyAlignment="1">
      <alignment horizontal="center"/>
    </xf>
    <xf numFmtId="0" fontId="37" fillId="15" borderId="2" xfId="0" applyFont="1" applyFill="1" applyBorder="1"/>
    <xf numFmtId="3" fontId="37" fillId="15" borderId="2" xfId="0" applyNumberFormat="1" applyFont="1" applyFill="1" applyBorder="1" applyAlignment="1">
      <alignment horizontal="center"/>
    </xf>
    <xf numFmtId="4" fontId="37" fillId="15" borderId="2" xfId="0" applyNumberFormat="1" applyFont="1" applyFill="1" applyBorder="1"/>
    <xf numFmtId="3" fontId="38" fillId="17" borderId="2" xfId="0" applyNumberFormat="1" applyFont="1" applyFill="1" applyBorder="1" applyAlignment="1">
      <alignment horizontal="center"/>
    </xf>
    <xf numFmtId="3" fontId="37" fillId="16" borderId="1" xfId="2" applyNumberFormat="1" applyFont="1" applyFill="1" applyAlignment="1">
      <alignment horizontal="center"/>
    </xf>
    <xf numFmtId="3" fontId="37" fillId="17" borderId="2" xfId="0" applyNumberFormat="1" applyFont="1" applyFill="1" applyBorder="1" applyAlignment="1">
      <alignment horizontal="center"/>
    </xf>
    <xf numFmtId="3" fontId="38" fillId="18" borderId="2" xfId="0" applyNumberFormat="1" applyFont="1" applyFill="1" applyBorder="1" applyAlignment="1">
      <alignment horizontal="center"/>
    </xf>
    <xf numFmtId="0" fontId="38" fillId="13" borderId="2" xfId="0" applyFont="1" applyFill="1" applyBorder="1"/>
    <xf numFmtId="0" fontId="37" fillId="14" borderId="2" xfId="0" applyFont="1" applyFill="1" applyBorder="1"/>
    <xf numFmtId="3" fontId="37" fillId="14" borderId="2" xfId="0" applyNumberFormat="1" applyFont="1" applyFill="1" applyBorder="1" applyAlignment="1">
      <alignment horizontal="center"/>
    </xf>
    <xf numFmtId="4" fontId="37" fillId="14" borderId="2" xfId="0" applyNumberFormat="1" applyFont="1" applyFill="1" applyBorder="1"/>
    <xf numFmtId="0" fontId="40" fillId="3" borderId="2" xfId="0" applyFont="1" applyFill="1" applyBorder="1"/>
    <xf numFmtId="14" fontId="40" fillId="3" borderId="2" xfId="0" applyNumberFormat="1" applyFont="1" applyFill="1" applyBorder="1" applyAlignment="1">
      <alignment horizontal="right"/>
    </xf>
    <xf numFmtId="0" fontId="40" fillId="3" borderId="2" xfId="0" applyFont="1" applyFill="1" applyBorder="1" applyAlignment="1">
      <alignment horizontal="center" wrapText="1"/>
    </xf>
    <xf numFmtId="0" fontId="37" fillId="3" borderId="2" xfId="2" applyFont="1" applyFill="1" applyBorder="1" applyAlignment="1">
      <alignment horizontal="center"/>
    </xf>
    <xf numFmtId="3" fontId="9" fillId="3" borderId="2" xfId="1" applyNumberFormat="1" applyFont="1" applyFill="1" applyBorder="1" applyAlignment="1">
      <alignment horizontal="center"/>
    </xf>
    <xf numFmtId="3" fontId="11" fillId="2" borderId="3" xfId="2" applyNumberFormat="1" applyFont="1" applyBorder="1" applyAlignment="1">
      <alignment horizontal="center" vertical="center"/>
    </xf>
    <xf numFmtId="3" fontId="40" fillId="3" borderId="2" xfId="1" applyNumberFormat="1" applyFont="1" applyFill="1" applyBorder="1" applyAlignment="1">
      <alignment horizontal="center"/>
    </xf>
    <xf numFmtId="3" fontId="0" fillId="0" borderId="0" xfId="0" applyNumberFormat="1"/>
    <xf numFmtId="3" fontId="3" fillId="3" borderId="2" xfId="1" applyNumberFormat="1" applyFont="1" applyFill="1" applyBorder="1" applyAlignment="1">
      <alignment horizontal="center"/>
    </xf>
    <xf numFmtId="14" fontId="11" fillId="2" borderId="1" xfId="2" applyNumberFormat="1" applyFont="1"/>
    <xf numFmtId="0" fontId="11" fillId="2" borderId="1" xfId="2" applyFont="1" applyAlignment="1">
      <alignment horizontal="right"/>
    </xf>
    <xf numFmtId="0" fontId="11" fillId="2" borderId="1" xfId="2" applyFont="1" applyAlignment="1">
      <alignment wrapText="1"/>
    </xf>
    <xf numFmtId="3" fontId="11" fillId="2" borderId="1" xfId="2" applyNumberFormat="1" applyFont="1"/>
    <xf numFmtId="3" fontId="9" fillId="3" borderId="2" xfId="1" applyNumberFormat="1" applyFont="1" applyFill="1" applyBorder="1"/>
    <xf numFmtId="3" fontId="11" fillId="2" borderId="3" xfId="2" applyNumberFormat="1" applyFont="1" applyBorder="1" applyAlignment="1">
      <alignment vertical="center"/>
    </xf>
    <xf numFmtId="3" fontId="40" fillId="3" borderId="2" xfId="1" applyNumberFormat="1" applyFont="1" applyFill="1" applyBorder="1"/>
    <xf numFmtId="3" fontId="3" fillId="3" borderId="2" xfId="1" applyNumberFormat="1" applyFont="1" applyFill="1" applyBorder="1"/>
    <xf numFmtId="3" fontId="37" fillId="0" borderId="2" xfId="2" applyNumberFormat="1" applyFont="1" applyFill="1" applyBorder="1" applyAlignment="1">
      <alignment horizontal="left" vertical="center" wrapText="1"/>
    </xf>
    <xf numFmtId="14" fontId="37" fillId="0" borderId="2" xfId="0" applyNumberFormat="1" applyFont="1" applyBorder="1" applyAlignment="1">
      <alignment horizontal="center" vertical="center" wrapText="1"/>
    </xf>
    <xf numFmtId="14" fontId="37" fillId="0" borderId="2" xfId="0" applyNumberFormat="1" applyFont="1" applyBorder="1" applyAlignment="1">
      <alignment horizontal="center" vertical="center"/>
    </xf>
    <xf numFmtId="3" fontId="37" fillId="0" borderId="2" xfId="0" applyNumberFormat="1" applyFont="1" applyBorder="1" applyAlignment="1">
      <alignment horizontal="center" vertical="center" wrapText="1"/>
    </xf>
    <xf numFmtId="14" fontId="50" fillId="2" borderId="1" xfId="2" applyNumberFormat="1" applyFont="1"/>
    <xf numFmtId="0" fontId="50" fillId="2" borderId="1" xfId="2" applyFont="1" applyAlignment="1">
      <alignment horizontal="right" vertical="center"/>
    </xf>
    <xf numFmtId="0" fontId="50" fillId="2" borderId="1" xfId="2" applyFont="1" applyAlignment="1">
      <alignment horizontal="left"/>
    </xf>
    <xf numFmtId="3" fontId="50" fillId="2" borderId="1" xfId="2" applyNumberFormat="1" applyFont="1"/>
    <xf numFmtId="0" fontId="51" fillId="2" borderId="1" xfId="2" applyFont="1" applyAlignment="1">
      <alignment horizontal="right"/>
    </xf>
    <xf numFmtId="0" fontId="51" fillId="2" borderId="1" xfId="2" applyFont="1"/>
    <xf numFmtId="3" fontId="51" fillId="2" borderId="1" xfId="2" applyNumberFormat="1" applyFont="1"/>
    <xf numFmtId="0" fontId="50" fillId="2" borderId="1" xfId="2" applyFont="1" applyAlignment="1">
      <alignment horizontal="right"/>
    </xf>
    <xf numFmtId="0" fontId="50" fillId="2" borderId="1" xfId="2" applyFont="1"/>
    <xf numFmtId="3" fontId="52" fillId="2" borderId="1" xfId="2" applyNumberFormat="1" applyFont="1"/>
    <xf numFmtId="3" fontId="8" fillId="2" borderId="1" xfId="2" applyNumberFormat="1" applyFont="1"/>
    <xf numFmtId="0" fontId="51" fillId="2" borderId="1" xfId="2" applyNumberFormat="1" applyFont="1" applyAlignment="1">
      <alignment horizontal="right"/>
    </xf>
    <xf numFmtId="3" fontId="53" fillId="2" borderId="1" xfId="2" applyNumberFormat="1" applyFont="1"/>
    <xf numFmtId="3" fontId="54" fillId="2" borderId="1" xfId="2" applyNumberFormat="1" applyFont="1"/>
    <xf numFmtId="0" fontId="38" fillId="2" borderId="1" xfId="2" applyFont="1" applyAlignment="1">
      <alignment horizontal="right"/>
    </xf>
    <xf numFmtId="0" fontId="38" fillId="2" borderId="1" xfId="2" applyFont="1"/>
    <xf numFmtId="3" fontId="38" fillId="2" borderId="1" xfId="2" applyNumberFormat="1" applyFont="1"/>
    <xf numFmtId="3" fontId="55" fillId="2" borderId="1" xfId="2" applyNumberFormat="1" applyFont="1"/>
    <xf numFmtId="3" fontId="36" fillId="2" borderId="1" xfId="2" applyNumberFormat="1" applyFont="1"/>
    <xf numFmtId="0" fontId="39" fillId="2" borderId="1" xfId="2" applyFont="1" applyAlignment="1">
      <alignment horizontal="right"/>
    </xf>
    <xf numFmtId="0" fontId="39" fillId="2" borderId="1" xfId="2" applyFont="1"/>
    <xf numFmtId="3" fontId="39" fillId="2" borderId="1" xfId="2" applyNumberFormat="1" applyFont="1"/>
    <xf numFmtId="0" fontId="12" fillId="2" borderId="1" xfId="2" applyFont="1" applyAlignment="1">
      <alignment horizontal="right"/>
    </xf>
    <xf numFmtId="0" fontId="12" fillId="2" borderId="1" xfId="2" applyFont="1"/>
    <xf numFmtId="3" fontId="12" fillId="2" borderId="1" xfId="2" applyNumberFormat="1" applyFont="1"/>
    <xf numFmtId="0" fontId="33" fillId="2" borderId="1" xfId="2" applyFont="1" applyAlignment="1">
      <alignment wrapText="1"/>
    </xf>
    <xf numFmtId="0" fontId="53" fillId="2" borderId="1" xfId="2" applyFont="1" applyAlignment="1">
      <alignment wrapText="1"/>
    </xf>
    <xf numFmtId="0" fontId="55" fillId="2" borderId="1" xfId="2" applyFont="1" applyAlignment="1">
      <alignment wrapText="1"/>
    </xf>
    <xf numFmtId="0" fontId="50" fillId="2" borderId="1" xfId="2" applyFont="1" applyAlignment="1">
      <alignment wrapText="1"/>
    </xf>
    <xf numFmtId="0" fontId="22" fillId="2" borderId="1" xfId="2" applyFont="1" applyAlignment="1">
      <alignment wrapText="1"/>
    </xf>
    <xf numFmtId="0" fontId="25" fillId="2" borderId="1" xfId="2" applyFont="1" applyAlignment="1">
      <alignment wrapText="1"/>
    </xf>
    <xf numFmtId="0" fontId="21" fillId="2" borderId="1" xfId="2" applyFont="1" applyAlignment="1">
      <alignment wrapText="1"/>
    </xf>
    <xf numFmtId="0" fontId="27" fillId="2" borderId="1" xfId="2" applyFont="1" applyAlignment="1">
      <alignment wrapText="1"/>
    </xf>
    <xf numFmtId="0" fontId="18" fillId="2" borderId="1" xfId="2" applyFont="1" applyAlignment="1">
      <alignment wrapText="1"/>
    </xf>
    <xf numFmtId="0" fontId="20" fillId="2" borderId="1" xfId="2" applyFont="1" applyAlignment="1">
      <alignment wrapText="1"/>
    </xf>
    <xf numFmtId="0" fontId="16" fillId="2" borderId="1" xfId="2" applyFont="1" applyAlignment="1">
      <alignment wrapText="1"/>
    </xf>
    <xf numFmtId="0" fontId="28" fillId="2" borderId="1" xfId="2" applyFont="1" applyAlignment="1">
      <alignment wrapText="1"/>
    </xf>
    <xf numFmtId="0" fontId="2" fillId="2" borderId="1" xfId="2" applyAlignment="1">
      <alignment horizontal="left" wrapText="1"/>
    </xf>
    <xf numFmtId="14" fontId="12" fillId="0" borderId="2" xfId="0" applyNumberFormat="1" applyFont="1" applyBorder="1" applyAlignment="1">
      <alignment horizontal="center" vertical="center" wrapText="1"/>
    </xf>
    <xf numFmtId="14" fontId="12" fillId="0" borderId="2" xfId="0" applyNumberFormat="1" applyFont="1" applyBorder="1" applyAlignment="1">
      <alignment horizontal="center" vertical="center"/>
    </xf>
    <xf numFmtId="3" fontId="12" fillId="0" borderId="2" xfId="0" applyNumberFormat="1" applyFont="1" applyBorder="1" applyAlignment="1">
      <alignment horizontal="center" vertical="center" wrapText="1"/>
    </xf>
    <xf numFmtId="3" fontId="12" fillId="0" borderId="2" xfId="0" applyNumberFormat="1" applyFont="1" applyBorder="1" applyAlignment="1">
      <alignment horizontal="center" vertical="center"/>
    </xf>
    <xf numFmtId="14" fontId="0" fillId="0" borderId="0" xfId="0" applyNumberFormat="1"/>
    <xf numFmtId="14" fontId="56" fillId="0" borderId="2" xfId="0" applyNumberFormat="1" applyFont="1" applyBorder="1"/>
    <xf numFmtId="14" fontId="41" fillId="2" borderId="1" xfId="2" applyNumberFormat="1" applyFont="1"/>
    <xf numFmtId="0" fontId="41" fillId="2" borderId="1" xfId="2" applyFont="1" applyAlignment="1">
      <alignment horizontal="right"/>
    </xf>
    <xf numFmtId="0" fontId="41" fillId="2" borderId="1" xfId="2" applyFont="1"/>
    <xf numFmtId="3" fontId="41" fillId="2" borderId="1" xfId="2" applyNumberFormat="1" applyFont="1"/>
    <xf numFmtId="3" fontId="41" fillId="0" borderId="2" xfId="2" applyNumberFormat="1" applyFont="1" applyFill="1" applyBorder="1" applyAlignment="1">
      <alignment horizontal="left" vertical="center" wrapText="1"/>
    </xf>
    <xf numFmtId="14" fontId="41" fillId="0" borderId="2" xfId="0" applyNumberFormat="1" applyFont="1" applyBorder="1" applyAlignment="1">
      <alignment horizontal="center" vertical="center" wrapText="1"/>
    </xf>
    <xf numFmtId="14" fontId="41" fillId="0" borderId="2" xfId="0" applyNumberFormat="1" applyFont="1" applyBorder="1" applyAlignment="1">
      <alignment horizontal="center" vertical="center"/>
    </xf>
    <xf numFmtId="3" fontId="41" fillId="0" borderId="2" xfId="0" applyNumberFormat="1" applyFont="1" applyBorder="1" applyAlignment="1">
      <alignment horizontal="center" vertical="center" wrapText="1"/>
    </xf>
    <xf numFmtId="3" fontId="41" fillId="0" borderId="2" xfId="0" applyNumberFormat="1" applyFont="1" applyBorder="1" applyAlignment="1">
      <alignment horizontal="center" vertical="center"/>
    </xf>
    <xf numFmtId="0" fontId="0" fillId="0" borderId="2" xfId="0" applyBorder="1"/>
    <xf numFmtId="0" fontId="0" fillId="0" borderId="2" xfId="0" applyBorder="1" applyAlignment="1">
      <alignment wrapText="1"/>
    </xf>
    <xf numFmtId="0" fontId="0" fillId="0" borderId="2" xfId="0" applyBorder="1" applyAlignment="1">
      <alignment horizontal="center" wrapText="1"/>
    </xf>
    <xf numFmtId="0" fontId="0" fillId="0" borderId="0" xfId="0" applyAlignment="1">
      <alignment horizontal="center" wrapText="1"/>
    </xf>
    <xf numFmtId="0" fontId="0" fillId="0" borderId="2" xfId="0" applyBorder="1" applyAlignment="1">
      <alignment horizont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0" fillId="0" borderId="0" xfId="0" applyAlignment="1">
      <alignment vertical="center"/>
    </xf>
    <xf numFmtId="0" fontId="40" fillId="20" borderId="2" xfId="0" applyFont="1" applyFill="1" applyBorder="1" applyAlignment="1">
      <alignment horizontal="left"/>
    </xf>
    <xf numFmtId="0" fontId="40" fillId="20" borderId="2" xfId="0" applyFont="1" applyFill="1" applyBorder="1" applyAlignment="1">
      <alignment horizontal="left" wrapText="1"/>
    </xf>
    <xf numFmtId="0" fontId="40" fillId="16" borderId="2" xfId="0" applyFont="1" applyFill="1" applyBorder="1" applyAlignment="1">
      <alignment horizontal="left"/>
    </xf>
    <xf numFmtId="0" fontId="40" fillId="16" borderId="2" xfId="0" applyFont="1" applyFill="1" applyBorder="1" applyAlignment="1">
      <alignment wrapText="1"/>
    </xf>
    <xf numFmtId="0" fontId="41" fillId="0" borderId="2" xfId="0" applyFont="1" applyBorder="1" applyAlignment="1">
      <alignment horizontal="left"/>
    </xf>
    <xf numFmtId="0" fontId="41" fillId="0" borderId="2" xfId="0" applyFont="1" applyBorder="1" applyAlignment="1">
      <alignment wrapText="1"/>
    </xf>
    <xf numFmtId="0" fontId="40" fillId="10" borderId="2" xfId="0" applyFont="1" applyFill="1" applyBorder="1" applyAlignment="1">
      <alignment horizontal="left"/>
    </xf>
    <xf numFmtId="0" fontId="40" fillId="10" borderId="2" xfId="0" applyFont="1" applyFill="1" applyBorder="1" applyAlignment="1">
      <alignment horizontal="left" wrapText="1"/>
    </xf>
    <xf numFmtId="0" fontId="40" fillId="20" borderId="2" xfId="0" applyFont="1" applyFill="1" applyBorder="1" applyAlignment="1">
      <alignment horizontal="left" vertical="center"/>
    </xf>
    <xf numFmtId="0" fontId="37" fillId="20" borderId="2" xfId="0" applyFont="1" applyFill="1" applyBorder="1" applyAlignment="1">
      <alignment horizontal="left" wrapText="1"/>
    </xf>
    <xf numFmtId="0" fontId="40" fillId="20" borderId="2" xfId="0" applyFont="1" applyFill="1" applyBorder="1" applyAlignment="1">
      <alignment horizontal="left" vertical="top"/>
    </xf>
    <xf numFmtId="167" fontId="5" fillId="0" borderId="2" xfId="0" applyNumberFormat="1" applyFont="1" applyBorder="1" applyAlignment="1">
      <alignment wrapText="1"/>
    </xf>
    <xf numFmtId="167" fontId="5" fillId="0" borderId="0" xfId="0" applyNumberFormat="1" applyFont="1" applyAlignment="1">
      <alignment wrapText="1"/>
    </xf>
    <xf numFmtId="0" fontId="59" fillId="19" borderId="2" xfId="0" applyFont="1" applyFill="1" applyBorder="1" applyAlignment="1">
      <alignment horizontal="center" vertical="center" wrapText="1"/>
    </xf>
    <xf numFmtId="0" fontId="59" fillId="19" borderId="2" xfId="0" applyFont="1" applyFill="1" applyBorder="1" applyAlignment="1">
      <alignment horizontal="left" vertical="center" wrapText="1"/>
    </xf>
    <xf numFmtId="167" fontId="59" fillId="19" borderId="2" xfId="4" applyNumberFormat="1" applyFont="1" applyFill="1" applyBorder="1" applyAlignment="1">
      <alignment horizontal="center" vertical="center" wrapText="1"/>
    </xf>
    <xf numFmtId="41" fontId="59" fillId="19" borderId="2" xfId="4" applyNumberFormat="1" applyFont="1" applyFill="1" applyBorder="1" applyAlignment="1">
      <alignment horizontal="center" vertical="center" wrapText="1"/>
    </xf>
    <xf numFmtId="167" fontId="40" fillId="20" borderId="2" xfId="0" applyNumberFormat="1" applyFont="1" applyFill="1" applyBorder="1"/>
    <xf numFmtId="0" fontId="41" fillId="20" borderId="2" xfId="0" applyFont="1" applyFill="1" applyBorder="1" applyAlignment="1">
      <alignment wrapText="1"/>
    </xf>
    <xf numFmtId="167" fontId="40" fillId="10" borderId="2" xfId="0" applyNumberFormat="1" applyFont="1" applyFill="1" applyBorder="1"/>
    <xf numFmtId="0" fontId="41" fillId="10" borderId="2" xfId="0" applyFont="1" applyFill="1" applyBorder="1" applyAlignment="1">
      <alignment wrapText="1"/>
    </xf>
    <xf numFmtId="167" fontId="40" fillId="0" borderId="2" xfId="0" applyNumberFormat="1" applyFont="1" applyBorder="1"/>
    <xf numFmtId="167" fontId="40" fillId="0" borderId="2" xfId="0" applyNumberFormat="1" applyFont="1" applyBorder="1" applyAlignment="1">
      <alignment wrapText="1"/>
    </xf>
    <xf numFmtId="167" fontId="40" fillId="20" borderId="2" xfId="0" applyNumberFormat="1" applyFont="1" applyFill="1" applyBorder="1" applyAlignment="1">
      <alignment wrapText="1"/>
    </xf>
    <xf numFmtId="0" fontId="60" fillId="12" borderId="2" xfId="0" applyFont="1" applyFill="1" applyBorder="1" applyAlignment="1">
      <alignment horizontal="center" wrapText="1"/>
    </xf>
    <xf numFmtId="0" fontId="37" fillId="12" borderId="2" xfId="0" applyFont="1" applyFill="1" applyBorder="1" applyAlignment="1">
      <alignment wrapText="1"/>
    </xf>
    <xf numFmtId="167" fontId="37" fillId="12" borderId="2" xfId="0" applyNumberFormat="1" applyFont="1" applyFill="1" applyBorder="1" applyAlignment="1">
      <alignment wrapText="1"/>
    </xf>
    <xf numFmtId="0" fontId="41" fillId="12" borderId="2" xfId="0" applyFont="1" applyFill="1" applyBorder="1" applyAlignment="1">
      <alignment wrapText="1"/>
    </xf>
    <xf numFmtId="41" fontId="5" fillId="0" borderId="2" xfId="0" applyNumberFormat="1" applyFont="1" applyBorder="1" applyAlignment="1">
      <alignment horizontal="center" vertical="center" wrapText="1"/>
    </xf>
    <xf numFmtId="41" fontId="0" fillId="0" borderId="2" xfId="0" applyNumberFormat="1" applyBorder="1" applyAlignment="1">
      <alignment wrapText="1"/>
    </xf>
    <xf numFmtId="41" fontId="0" fillId="0" borderId="0" xfId="0" applyNumberFormat="1" applyAlignment="1">
      <alignment wrapText="1"/>
    </xf>
    <xf numFmtId="0" fontId="40" fillId="20" borderId="2" xfId="0" applyFont="1" applyFill="1" applyBorder="1" applyAlignment="1">
      <alignment wrapText="1"/>
    </xf>
    <xf numFmtId="0" fontId="37" fillId="20" borderId="2" xfId="0" applyFont="1" applyFill="1" applyBorder="1" applyAlignment="1">
      <alignment horizontal="left"/>
    </xf>
    <xf numFmtId="0" fontId="37" fillId="20" borderId="2" xfId="0" applyFont="1" applyFill="1" applyBorder="1" applyAlignment="1">
      <alignment wrapText="1"/>
    </xf>
    <xf numFmtId="167" fontId="41" fillId="0" borderId="2" xfId="0" applyNumberFormat="1" applyFont="1" applyBorder="1" applyAlignment="1">
      <alignment wrapText="1"/>
    </xf>
    <xf numFmtId="41" fontId="59" fillId="21" borderId="5" xfId="4" applyNumberFormat="1" applyFont="1" applyFill="1" applyBorder="1" applyAlignment="1">
      <alignment vertical="center" wrapText="1"/>
    </xf>
    <xf numFmtId="41" fontId="59" fillId="21" borderId="6" xfId="4" applyNumberFormat="1" applyFont="1" applyFill="1" applyBorder="1" applyAlignment="1">
      <alignment vertical="center" wrapText="1"/>
    </xf>
    <xf numFmtId="167" fontId="40" fillId="10" borderId="2" xfId="0" applyNumberFormat="1" applyFont="1" applyFill="1" applyBorder="1" applyAlignment="1">
      <alignment wrapText="1"/>
    </xf>
    <xf numFmtId="167" fontId="41" fillId="20" borderId="2" xfId="0" applyNumberFormat="1" applyFont="1" applyFill="1" applyBorder="1" applyAlignment="1">
      <alignment wrapText="1"/>
    </xf>
    <xf numFmtId="167" fontId="41" fillId="10" borderId="2" xfId="0" applyNumberFormat="1" applyFont="1" applyFill="1" applyBorder="1" applyAlignment="1">
      <alignment wrapText="1"/>
    </xf>
    <xf numFmtId="167" fontId="0" fillId="0" borderId="2" xfId="0" applyNumberFormat="1" applyBorder="1" applyAlignment="1">
      <alignment wrapText="1"/>
    </xf>
    <xf numFmtId="167" fontId="59" fillId="19" borderId="6" xfId="4" applyNumberFormat="1" applyFont="1" applyFill="1" applyBorder="1" applyAlignment="1">
      <alignment horizontal="center" vertical="center" wrapText="1"/>
    </xf>
    <xf numFmtId="167" fontId="59" fillId="21" borderId="6" xfId="4" applyNumberFormat="1" applyFont="1" applyFill="1" applyBorder="1" applyAlignment="1">
      <alignment horizontal="center" vertical="center" wrapText="1"/>
    </xf>
    <xf numFmtId="167" fontId="0" fillId="0" borderId="0" xfId="0" applyNumberFormat="1" applyAlignment="1">
      <alignment wrapText="1"/>
    </xf>
    <xf numFmtId="167" fontId="40" fillId="12" borderId="2" xfId="0" applyNumberFormat="1" applyFont="1" applyFill="1" applyBorder="1" applyAlignment="1">
      <alignment wrapText="1"/>
    </xf>
    <xf numFmtId="0" fontId="11" fillId="2" borderId="1" xfId="2" applyFont="1" applyAlignment="1">
      <alignment horizontal="left"/>
    </xf>
    <xf numFmtId="0" fontId="11" fillId="2" borderId="1" xfId="2" applyFont="1"/>
    <xf numFmtId="0" fontId="56" fillId="0" borderId="2" xfId="0" applyFont="1" applyBorder="1" applyAlignment="1">
      <alignment wrapText="1"/>
    </xf>
    <xf numFmtId="3" fontId="41" fillId="7" borderId="0" xfId="0" applyNumberFormat="1" applyFont="1" applyFill="1" applyAlignment="1">
      <alignment horizontal="center" vertical="center"/>
    </xf>
    <xf numFmtId="3" fontId="40" fillId="7" borderId="0" xfId="0" applyNumberFormat="1" applyFont="1" applyFill="1" applyAlignment="1">
      <alignment horizontal="center" vertical="center" wrapText="1"/>
    </xf>
    <xf numFmtId="3" fontId="41" fillId="7" borderId="0" xfId="0" applyNumberFormat="1" applyFont="1" applyFill="1" applyAlignment="1">
      <alignment horizontal="center" vertical="center" wrapText="1"/>
    </xf>
    <xf numFmtId="1" fontId="37" fillId="7" borderId="2" xfId="0" applyNumberFormat="1" applyFont="1" applyFill="1" applyBorder="1" applyAlignment="1">
      <alignment horizontal="center" vertical="center"/>
    </xf>
    <xf numFmtId="1" fontId="37" fillId="0" borderId="2" xfId="2" applyNumberFormat="1" applyFont="1" applyFill="1" applyBorder="1" applyAlignment="1">
      <alignment horizontal="center" vertical="center"/>
    </xf>
    <xf numFmtId="1" fontId="39" fillId="0" borderId="2" xfId="2" applyNumberFormat="1" applyFont="1" applyFill="1" applyBorder="1" applyAlignment="1">
      <alignment horizontal="center" vertical="center"/>
    </xf>
    <xf numFmtId="1" fontId="41" fillId="10" borderId="2" xfId="0" applyNumberFormat="1" applyFont="1" applyFill="1" applyBorder="1" applyAlignment="1">
      <alignment horizontal="center" vertical="center"/>
    </xf>
    <xf numFmtId="1" fontId="40" fillId="7" borderId="0" xfId="0" applyNumberFormat="1" applyFont="1" applyFill="1" applyAlignment="1">
      <alignment horizontal="center" vertical="center" wrapText="1"/>
    </xf>
    <xf numFmtId="1" fontId="40" fillId="0" borderId="2" xfId="2" applyNumberFormat="1" applyFont="1" applyFill="1" applyBorder="1" applyAlignment="1">
      <alignment horizontal="center" vertical="center"/>
    </xf>
    <xf numFmtId="1" fontId="56" fillId="0" borderId="2" xfId="0" applyNumberFormat="1" applyFont="1" applyBorder="1"/>
    <xf numFmtId="1" fontId="38" fillId="0" borderId="2" xfId="2" applyNumberFormat="1" applyFont="1" applyFill="1" applyBorder="1" applyAlignment="1">
      <alignment horizontal="center" vertical="center"/>
    </xf>
    <xf numFmtId="1" fontId="41" fillId="0" borderId="2" xfId="2" applyNumberFormat="1" applyFont="1" applyFill="1" applyBorder="1" applyAlignment="1">
      <alignment horizontal="center" vertical="center"/>
    </xf>
    <xf numFmtId="1" fontId="0" fillId="0" borderId="0" xfId="0" applyNumberFormat="1"/>
    <xf numFmtId="3" fontId="12" fillId="0" borderId="2" xfId="2" applyNumberFormat="1" applyFont="1" applyFill="1" applyBorder="1" applyAlignment="1">
      <alignment horizontal="left" vertical="center" wrapText="1"/>
    </xf>
    <xf numFmtId="14" fontId="11" fillId="2" borderId="1" xfId="2" applyNumberFormat="1" applyFont="1" applyAlignment="1">
      <alignment horizontal="right"/>
    </xf>
    <xf numFmtId="0" fontId="12" fillId="2" borderId="1" xfId="2" applyFont="1" applyAlignment="1">
      <alignment wrapText="1"/>
    </xf>
    <xf numFmtId="14" fontId="12" fillId="2" borderId="1" xfId="2" applyNumberFormat="1" applyFont="1"/>
    <xf numFmtId="14" fontId="38" fillId="2" borderId="12" xfId="6" applyNumberFormat="1" applyFont="1" applyAlignment="1">
      <alignment horizontal="center" vertical="center" wrapText="1"/>
    </xf>
    <xf numFmtId="0" fontId="41" fillId="0" borderId="0" xfId="0" applyFont="1" applyAlignment="1">
      <alignment wrapText="1"/>
    </xf>
    <xf numFmtId="1" fontId="38" fillId="2" borderId="12" xfId="6" applyNumberFormat="1" applyFont="1" applyAlignment="1">
      <alignment horizontal="center" vertical="center"/>
    </xf>
    <xf numFmtId="0" fontId="38" fillId="2" borderId="12" xfId="6" applyFont="1" applyAlignment="1">
      <alignment horizontal="right"/>
    </xf>
    <xf numFmtId="0" fontId="38" fillId="2" borderId="12" xfId="6" applyFont="1" applyAlignment="1">
      <alignment wrapText="1"/>
    </xf>
    <xf numFmtId="3" fontId="38" fillId="2" borderId="12" xfId="6" applyNumberFormat="1" applyFont="1"/>
    <xf numFmtId="14" fontId="38" fillId="2" borderId="12" xfId="6" applyNumberFormat="1" applyFont="1"/>
    <xf numFmtId="0" fontId="38" fillId="2" borderId="12" xfId="6" applyFont="1"/>
    <xf numFmtId="14" fontId="38" fillId="2" borderId="12" xfId="6" applyNumberFormat="1" applyFont="1" applyAlignment="1">
      <alignment horizontal="right"/>
    </xf>
    <xf numFmtId="0" fontId="38" fillId="2" borderId="12" xfId="6" applyFont="1" applyAlignment="1">
      <alignment horizontal="center" wrapText="1"/>
    </xf>
    <xf numFmtId="3" fontId="38" fillId="2" borderId="12" xfId="6" applyNumberFormat="1" applyFont="1" applyAlignment="1">
      <alignment horizontal="center"/>
    </xf>
    <xf numFmtId="3" fontId="38" fillId="2" borderId="12" xfId="6" applyNumberFormat="1" applyFont="1" applyAlignment="1">
      <alignment horizontal="center" vertical="center" wrapText="1"/>
    </xf>
    <xf numFmtId="3" fontId="38" fillId="2" borderId="12" xfId="6" applyNumberFormat="1" applyFont="1" applyAlignment="1">
      <alignment horizontal="right"/>
    </xf>
    <xf numFmtId="14" fontId="38" fillId="0" borderId="0" xfId="0" applyNumberFormat="1" applyFont="1" applyBorder="1" applyAlignment="1">
      <alignment horizontal="center" vertical="center" wrapText="1"/>
    </xf>
    <xf numFmtId="3" fontId="35" fillId="4" borderId="1" xfId="2" applyNumberFormat="1" applyFont="1" applyFill="1" applyAlignment="1">
      <alignment vertical="center"/>
    </xf>
    <xf numFmtId="165" fontId="35" fillId="4" borderId="1" xfId="2" applyNumberFormat="1" applyFont="1" applyFill="1" applyAlignment="1">
      <alignment vertical="center"/>
    </xf>
    <xf numFmtId="3" fontId="39" fillId="0" borderId="2" xfId="0" applyNumberFormat="1" applyFont="1" applyBorder="1" applyAlignment="1">
      <alignment horizontal="center" vertical="center"/>
    </xf>
    <xf numFmtId="3" fontId="38" fillId="0" borderId="2" xfId="2" applyNumberFormat="1" applyFont="1" applyFill="1" applyBorder="1" applyAlignment="1">
      <alignment horizontal="left" vertical="center"/>
    </xf>
    <xf numFmtId="3" fontId="40" fillId="10" borderId="2" xfId="0" applyNumberFormat="1" applyFont="1" applyFill="1" applyBorder="1" applyAlignment="1">
      <alignment horizontal="left" vertical="center"/>
    </xf>
    <xf numFmtId="0" fontId="0" fillId="0" borderId="0" xfId="0" applyAlignment="1"/>
    <xf numFmtId="3" fontId="41" fillId="10" borderId="2" xfId="0" applyNumberFormat="1" applyFont="1" applyFill="1" applyBorder="1" applyAlignment="1">
      <alignment horizontal="center" vertical="center"/>
    </xf>
    <xf numFmtId="14" fontId="41" fillId="0" borderId="0" xfId="0" applyNumberFormat="1" applyFont="1" applyBorder="1" applyAlignment="1">
      <alignment horizontal="center" vertical="center" wrapText="1"/>
    </xf>
    <xf numFmtId="1" fontId="41" fillId="0" borderId="0" xfId="2" applyNumberFormat="1" applyFont="1" applyFill="1" applyBorder="1" applyAlignment="1">
      <alignment horizontal="center" vertical="center"/>
    </xf>
    <xf numFmtId="3" fontId="41" fillId="0" borderId="0" xfId="2" applyNumberFormat="1" applyFont="1" applyFill="1" applyBorder="1" applyAlignment="1">
      <alignment horizontal="left" vertical="center" wrapText="1"/>
    </xf>
    <xf numFmtId="3" fontId="41" fillId="0" borderId="0" xfId="0" applyNumberFormat="1" applyFont="1" applyBorder="1" applyAlignment="1">
      <alignment horizontal="center" vertical="center" wrapText="1"/>
    </xf>
    <xf numFmtId="17" fontId="9" fillId="3" borderId="7" xfId="0" applyNumberFormat="1" applyFont="1" applyFill="1" applyBorder="1" applyAlignment="1">
      <alignment horizontal="center"/>
    </xf>
    <xf numFmtId="0" fontId="41" fillId="3" borderId="7" xfId="0" applyFont="1" applyFill="1" applyBorder="1" applyAlignment="1">
      <alignment horizontal="center"/>
    </xf>
    <xf numFmtId="14" fontId="10" fillId="4" borderId="8" xfId="2" applyNumberFormat="1" applyFont="1" applyFill="1" applyBorder="1" applyAlignment="1">
      <alignment horizontal="center" vertical="center"/>
    </xf>
    <xf numFmtId="14" fontId="10" fillId="4" borderId="9" xfId="2" applyNumberFormat="1" applyFont="1" applyFill="1" applyBorder="1" applyAlignment="1">
      <alignment horizontal="center" vertical="center"/>
    </xf>
    <xf numFmtId="14" fontId="10" fillId="4" borderId="10" xfId="2" applyNumberFormat="1" applyFont="1" applyFill="1" applyBorder="1" applyAlignment="1">
      <alignment horizontal="center" vertical="center"/>
    </xf>
    <xf numFmtId="0" fontId="7" fillId="3" borderId="2" xfId="0" applyFont="1" applyFill="1" applyBorder="1" applyAlignment="1">
      <alignment horizontal="center" vertical="center"/>
    </xf>
    <xf numFmtId="17" fontId="7" fillId="3" borderId="4" xfId="0" applyNumberFormat="1" applyFont="1" applyFill="1" applyBorder="1" applyAlignment="1">
      <alignment horizontal="center"/>
    </xf>
    <xf numFmtId="17" fontId="7" fillId="3" borderId="5" xfId="0" applyNumberFormat="1" applyFont="1" applyFill="1" applyBorder="1" applyAlignment="1">
      <alignment horizontal="center"/>
    </xf>
    <xf numFmtId="17" fontId="7" fillId="3" borderId="6" xfId="0" applyNumberFormat="1" applyFont="1" applyFill="1" applyBorder="1" applyAlignment="1">
      <alignment horizontal="center"/>
    </xf>
    <xf numFmtId="0" fontId="7" fillId="3" borderId="7" xfId="0" applyFont="1" applyFill="1" applyBorder="1" applyAlignment="1">
      <alignment horizontal="center"/>
    </xf>
    <xf numFmtId="0" fontId="47" fillId="3" borderId="7" xfId="0" applyFont="1" applyFill="1" applyBorder="1" applyAlignment="1">
      <alignment horizontal="center"/>
    </xf>
    <xf numFmtId="17" fontId="3" fillId="3" borderId="7" xfId="0" applyNumberFormat="1" applyFont="1" applyFill="1" applyBorder="1" applyAlignment="1">
      <alignment horizontal="center"/>
    </xf>
    <xf numFmtId="0" fontId="0" fillId="3" borderId="7" xfId="0" applyFill="1" applyBorder="1" applyAlignment="1">
      <alignment horizontal="center"/>
    </xf>
    <xf numFmtId="14" fontId="35" fillId="4" borderId="8" xfId="2" applyNumberFormat="1" applyFont="1" applyFill="1" applyBorder="1" applyAlignment="1">
      <alignment horizontal="center" vertical="center"/>
    </xf>
    <xf numFmtId="14" fontId="35" fillId="4" borderId="9" xfId="2" applyNumberFormat="1" applyFont="1" applyFill="1" applyBorder="1" applyAlignment="1">
      <alignment horizontal="center" vertical="center"/>
    </xf>
    <xf numFmtId="14" fontId="35" fillId="4" borderId="10" xfId="2" applyNumberFormat="1" applyFont="1" applyFill="1" applyBorder="1" applyAlignment="1">
      <alignment horizontal="center" vertical="center"/>
    </xf>
    <xf numFmtId="0" fontId="13" fillId="5" borderId="0" xfId="3" applyFont="1" applyAlignment="1">
      <alignment horizontal="center"/>
    </xf>
    <xf numFmtId="14" fontId="48" fillId="6" borderId="8" xfId="2" applyNumberFormat="1" applyFont="1" applyFill="1" applyBorder="1" applyAlignment="1">
      <alignment horizontal="center"/>
    </xf>
    <xf numFmtId="14" fontId="50" fillId="6" borderId="9" xfId="2" applyNumberFormat="1" applyFont="1" applyFill="1" applyBorder="1" applyAlignment="1">
      <alignment horizontal="center"/>
    </xf>
    <xf numFmtId="14" fontId="50" fillId="6" borderId="10" xfId="2" applyNumberFormat="1" applyFont="1" applyFill="1" applyBorder="1" applyAlignment="1">
      <alignment horizontal="center"/>
    </xf>
    <xf numFmtId="14" fontId="13" fillId="6" borderId="8" xfId="2" applyNumberFormat="1" applyFont="1" applyFill="1" applyBorder="1" applyAlignment="1">
      <alignment horizontal="center"/>
    </xf>
    <xf numFmtId="14" fontId="13" fillId="6" borderId="9" xfId="2" applyNumberFormat="1" applyFont="1" applyFill="1" applyBorder="1" applyAlignment="1">
      <alignment horizontal="center"/>
    </xf>
    <xf numFmtId="14" fontId="13" fillId="6" borderId="10" xfId="2" applyNumberFormat="1" applyFont="1" applyFill="1" applyBorder="1" applyAlignment="1">
      <alignment horizontal="center"/>
    </xf>
    <xf numFmtId="0" fontId="13" fillId="5" borderId="9" xfId="3" applyFont="1" applyBorder="1" applyAlignment="1">
      <alignment horizontal="center"/>
    </xf>
    <xf numFmtId="0" fontId="31" fillId="5" borderId="1" xfId="3" applyFont="1" applyBorder="1" applyAlignment="1">
      <alignment horizontal="center"/>
    </xf>
    <xf numFmtId="0" fontId="8" fillId="7" borderId="8" xfId="2" applyFont="1" applyFill="1" applyBorder="1" applyAlignment="1">
      <alignment horizontal="center"/>
    </xf>
    <xf numFmtId="0" fontId="8" fillId="7" borderId="9" xfId="2" applyFont="1" applyFill="1" applyBorder="1" applyAlignment="1">
      <alignment horizontal="center"/>
    </xf>
    <xf numFmtId="0" fontId="8" fillId="7" borderId="10" xfId="2" applyFont="1" applyFill="1" applyBorder="1" applyAlignment="1">
      <alignment horizontal="center"/>
    </xf>
    <xf numFmtId="0" fontId="8" fillId="8" borderId="8" xfId="2" applyFont="1" applyFill="1" applyBorder="1" applyAlignment="1">
      <alignment horizontal="center"/>
    </xf>
    <xf numFmtId="0" fontId="8" fillId="8" borderId="9" xfId="2" applyFont="1" applyFill="1" applyBorder="1" applyAlignment="1">
      <alignment horizontal="center"/>
    </xf>
    <xf numFmtId="0" fontId="8" fillId="8" borderId="10" xfId="2" applyFont="1" applyFill="1" applyBorder="1" applyAlignment="1">
      <alignment horizontal="center"/>
    </xf>
    <xf numFmtId="0" fontId="31" fillId="5" borderId="11" xfId="3" applyFont="1" applyBorder="1" applyAlignment="1">
      <alignment horizontal="center"/>
    </xf>
    <xf numFmtId="14" fontId="49" fillId="6" borderId="9" xfId="2" applyNumberFormat="1" applyFont="1" applyFill="1" applyBorder="1" applyAlignment="1">
      <alignment horizontal="center"/>
    </xf>
    <xf numFmtId="14" fontId="49" fillId="6" borderId="10" xfId="2" applyNumberFormat="1" applyFont="1" applyFill="1" applyBorder="1" applyAlignment="1">
      <alignment horizontal="center"/>
    </xf>
    <xf numFmtId="3" fontId="9" fillId="9" borderId="2" xfId="0" applyNumberFormat="1" applyFont="1" applyFill="1" applyBorder="1" applyAlignment="1">
      <alignment horizontal="center" vertical="center"/>
    </xf>
    <xf numFmtId="3" fontId="40" fillId="7" borderId="4" xfId="0" applyNumberFormat="1" applyFont="1" applyFill="1" applyBorder="1" applyAlignment="1">
      <alignment horizontal="center" vertical="center" wrapText="1"/>
    </xf>
    <xf numFmtId="3" fontId="40" fillId="7" borderId="5" xfId="0" applyNumberFormat="1" applyFont="1" applyFill="1" applyBorder="1" applyAlignment="1">
      <alignment horizontal="center" vertical="center" wrapText="1"/>
    </xf>
    <xf numFmtId="3" fontId="40" fillId="7" borderId="6" xfId="0" applyNumberFormat="1" applyFont="1" applyFill="1" applyBorder="1" applyAlignment="1">
      <alignment horizontal="center" vertical="center" wrapText="1"/>
    </xf>
    <xf numFmtId="3" fontId="9" fillId="9" borderId="4" xfId="0" applyNumberFormat="1" applyFont="1" applyFill="1" applyBorder="1" applyAlignment="1">
      <alignment horizontal="center" vertical="center"/>
    </xf>
    <xf numFmtId="3" fontId="9" fillId="9" borderId="5" xfId="0" applyNumberFormat="1" applyFont="1" applyFill="1" applyBorder="1" applyAlignment="1">
      <alignment horizontal="center" vertical="center"/>
    </xf>
    <xf numFmtId="3" fontId="9" fillId="9" borderId="6" xfId="0" applyNumberFormat="1" applyFont="1" applyFill="1" applyBorder="1" applyAlignment="1">
      <alignment horizontal="center" vertical="center"/>
    </xf>
    <xf numFmtId="0" fontId="5" fillId="0" borderId="7" xfId="0" applyFont="1" applyBorder="1" applyAlignment="1">
      <alignment horizontal="center"/>
    </xf>
    <xf numFmtId="0" fontId="40" fillId="10" borderId="2" xfId="0" applyFont="1" applyFill="1" applyBorder="1" applyAlignment="1">
      <alignment horizontal="center" wrapText="1"/>
    </xf>
    <xf numFmtId="41" fontId="59" fillId="19" borderId="4" xfId="4" applyNumberFormat="1" applyFont="1" applyFill="1" applyBorder="1" applyAlignment="1">
      <alignment horizontal="center" vertical="center" wrapText="1"/>
    </xf>
    <xf numFmtId="41" fontId="59" fillId="19" borderId="5" xfId="4" applyNumberFormat="1" applyFont="1" applyFill="1" applyBorder="1" applyAlignment="1">
      <alignment horizontal="center" vertical="center" wrapText="1"/>
    </xf>
    <xf numFmtId="41" fontId="59" fillId="19" borderId="6" xfId="4" applyNumberFormat="1" applyFont="1" applyFill="1" applyBorder="1" applyAlignment="1">
      <alignment horizontal="center" vertical="center" wrapText="1"/>
    </xf>
    <xf numFmtId="41" fontId="59" fillId="21" borderId="4" xfId="4" applyNumberFormat="1" applyFont="1" applyFill="1" applyBorder="1" applyAlignment="1">
      <alignment horizontal="center" vertical="center" wrapText="1"/>
    </xf>
    <xf numFmtId="41" fontId="59" fillId="21" borderId="5" xfId="4" applyNumberFormat="1" applyFont="1" applyFill="1" applyBorder="1" applyAlignment="1">
      <alignment horizontal="center" vertical="center" wrapText="1"/>
    </xf>
    <xf numFmtId="41" fontId="59" fillId="22" borderId="5" xfId="4" applyNumberFormat="1" applyFont="1" applyFill="1" applyBorder="1" applyAlignment="1">
      <alignment horizontal="center" vertical="center" wrapText="1"/>
    </xf>
    <xf numFmtId="0" fontId="45" fillId="12" borderId="2" xfId="0" applyFont="1" applyFill="1" applyBorder="1" applyAlignment="1">
      <alignment horizontal="center"/>
    </xf>
    <xf numFmtId="0" fontId="46" fillId="12" borderId="2" xfId="0" applyFont="1" applyFill="1" applyBorder="1" applyAlignment="1">
      <alignment horizontal="center"/>
    </xf>
    <xf numFmtId="0" fontId="43" fillId="11" borderId="2" xfId="3" applyFont="1" applyFill="1" applyBorder="1" applyAlignment="1">
      <alignment horizontal="center"/>
    </xf>
    <xf numFmtId="0" fontId="40" fillId="0" borderId="2" xfId="0" applyFont="1" applyBorder="1" applyAlignment="1">
      <alignment horizontal="left"/>
    </xf>
    <xf numFmtId="0" fontId="41" fillId="0" borderId="2" xfId="0" applyFont="1" applyBorder="1" applyAlignment="1">
      <alignment vertical="center"/>
    </xf>
    <xf numFmtId="0" fontId="31" fillId="11" borderId="2" xfId="0" applyFont="1" applyFill="1" applyBorder="1" applyAlignment="1">
      <alignment horizontal="center"/>
    </xf>
  </cellXfs>
  <cellStyles count="7">
    <cellStyle name="Accent1" xfId="3" builtinId="29"/>
    <cellStyle name="Calcul" xfId="6" builtinId="22"/>
    <cellStyle name="Milliers" xfId="1" builtinId="3"/>
    <cellStyle name="Milliers [0] 2" xfId="4"/>
    <cellStyle name="Normal" xfId="0" builtinId="0"/>
    <cellStyle name="Normal 2 2" xfId="5"/>
    <cellStyle name="Sortie" xfId="2" builtinId="21"/>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3"/>
  <sheetViews>
    <sheetView tabSelected="1" topLeftCell="A239" workbookViewId="0">
      <selection activeCell="I4" sqref="I4"/>
    </sheetView>
  </sheetViews>
  <sheetFormatPr baseColWidth="10" defaultRowHeight="14.4" x14ac:dyDescent="0.3"/>
  <cols>
    <col min="1" max="1" width="12.109375" customWidth="1"/>
    <col min="2" max="2" width="16.5546875" style="12" bestFit="1" customWidth="1"/>
    <col min="3" max="3" width="12.5546875" style="12" customWidth="1"/>
    <col min="4" max="4" width="47.44140625" style="9" customWidth="1"/>
    <col min="5" max="5" width="15.5546875" style="184" bestFit="1" customWidth="1"/>
    <col min="6" max="6" width="12.5546875" style="184" bestFit="1" customWidth="1"/>
    <col min="7" max="7" width="15.5546875" bestFit="1" customWidth="1"/>
  </cols>
  <sheetData>
    <row r="1" spans="1:7" ht="17.399999999999999" x14ac:dyDescent="0.3">
      <c r="A1" s="354" t="s">
        <v>8</v>
      </c>
      <c r="B1" s="354"/>
      <c r="C1" s="354"/>
      <c r="D1" s="354"/>
      <c r="E1" s="354"/>
      <c r="F1" s="354"/>
      <c r="G1" s="13"/>
    </row>
    <row r="2" spans="1:7" ht="17.399999999999999" x14ac:dyDescent="0.3">
      <c r="A2" s="355">
        <v>45658</v>
      </c>
      <c r="B2" s="356"/>
      <c r="C2" s="356"/>
      <c r="D2" s="356"/>
      <c r="E2" s="356"/>
      <c r="F2" s="356"/>
      <c r="G2" s="357"/>
    </row>
    <row r="3" spans="1:7" ht="18" customHeight="1" x14ac:dyDescent="0.3">
      <c r="A3" s="14" t="s">
        <v>0</v>
      </c>
      <c r="B3" s="15" t="s">
        <v>26</v>
      </c>
      <c r="C3" s="15" t="s">
        <v>394</v>
      </c>
      <c r="D3" s="16" t="s">
        <v>21</v>
      </c>
      <c r="E3" s="190" t="s">
        <v>2</v>
      </c>
      <c r="F3" s="181" t="s">
        <v>3</v>
      </c>
      <c r="G3" s="17" t="s">
        <v>4</v>
      </c>
    </row>
    <row r="4" spans="1:7" ht="18" customHeight="1" x14ac:dyDescent="0.3">
      <c r="A4" s="21">
        <v>45658</v>
      </c>
      <c r="B4" s="22" t="s">
        <v>6</v>
      </c>
      <c r="C4" s="22"/>
      <c r="D4" s="23" t="s">
        <v>10</v>
      </c>
      <c r="E4" s="191">
        <v>445619551</v>
      </c>
      <c r="F4" s="182"/>
      <c r="G4" s="24">
        <f>E4-F4</f>
        <v>445619551</v>
      </c>
    </row>
    <row r="5" spans="1:7" x14ac:dyDescent="0.3">
      <c r="A5" s="18">
        <v>46015</v>
      </c>
      <c r="B5" s="19">
        <v>5129556</v>
      </c>
      <c r="C5" s="19"/>
      <c r="D5" s="20" t="s">
        <v>11</v>
      </c>
      <c r="E5" s="25"/>
      <c r="F5" s="25">
        <v>65000</v>
      </c>
      <c r="G5" s="26">
        <f>G4+E5-F5</f>
        <v>445554551</v>
      </c>
    </row>
    <row r="6" spans="1:7" x14ac:dyDescent="0.3">
      <c r="A6" s="27">
        <v>46015</v>
      </c>
      <c r="B6" s="28">
        <v>5129557</v>
      </c>
      <c r="C6" s="28"/>
      <c r="D6" s="20" t="s">
        <v>12</v>
      </c>
      <c r="E6" s="25"/>
      <c r="F6" s="25">
        <v>39000</v>
      </c>
      <c r="G6" s="26">
        <f t="shared" ref="G6:G27" si="0">G5+E6-F6</f>
        <v>445515551</v>
      </c>
    </row>
    <row r="7" spans="1:7" ht="27.6" x14ac:dyDescent="0.3">
      <c r="A7" s="27">
        <v>45659</v>
      </c>
      <c r="B7" s="28" t="s">
        <v>13</v>
      </c>
      <c r="C7" s="28"/>
      <c r="D7" s="20" t="s">
        <v>14</v>
      </c>
      <c r="E7" s="25"/>
      <c r="F7" s="25">
        <v>500000</v>
      </c>
      <c r="G7" s="26">
        <f t="shared" si="0"/>
        <v>445015551</v>
      </c>
    </row>
    <row r="8" spans="1:7" x14ac:dyDescent="0.3">
      <c r="A8" s="27">
        <v>46015</v>
      </c>
      <c r="B8" s="28">
        <v>5129558</v>
      </c>
      <c r="C8" s="28"/>
      <c r="D8" s="20" t="s">
        <v>15</v>
      </c>
      <c r="E8" s="25"/>
      <c r="F8" s="25">
        <v>170000</v>
      </c>
      <c r="G8" s="26">
        <f t="shared" si="0"/>
        <v>444845551</v>
      </c>
    </row>
    <row r="9" spans="1:7" x14ac:dyDescent="0.3">
      <c r="A9" s="27">
        <v>45660</v>
      </c>
      <c r="B9" s="28">
        <v>5129559</v>
      </c>
      <c r="C9" s="28"/>
      <c r="D9" s="20" t="s">
        <v>16</v>
      </c>
      <c r="E9" s="25"/>
      <c r="F9" s="25">
        <v>13675000</v>
      </c>
      <c r="G9" s="26">
        <f t="shared" si="0"/>
        <v>431170551</v>
      </c>
    </row>
    <row r="10" spans="1:7" x14ac:dyDescent="0.3">
      <c r="A10" s="27">
        <v>45642</v>
      </c>
      <c r="B10" s="28">
        <v>5129552</v>
      </c>
      <c r="C10" s="28"/>
      <c r="D10" s="20" t="s">
        <v>17</v>
      </c>
      <c r="E10" s="25"/>
      <c r="F10" s="25">
        <v>625000</v>
      </c>
      <c r="G10" s="26">
        <f t="shared" si="0"/>
        <v>430545551</v>
      </c>
    </row>
    <row r="11" spans="1:7" x14ac:dyDescent="0.3">
      <c r="A11" s="27">
        <v>45666</v>
      </c>
      <c r="B11" s="28" t="s">
        <v>6</v>
      </c>
      <c r="C11" s="28"/>
      <c r="D11" s="20" t="s">
        <v>27</v>
      </c>
      <c r="E11" s="25">
        <v>812000</v>
      </c>
      <c r="F11" s="25"/>
      <c r="G11" s="26">
        <f t="shared" si="0"/>
        <v>431357551</v>
      </c>
    </row>
    <row r="12" spans="1:7" x14ac:dyDescent="0.3">
      <c r="A12" s="31">
        <v>45670</v>
      </c>
      <c r="B12" s="32">
        <v>5129560</v>
      </c>
      <c r="C12" s="32"/>
      <c r="D12" s="33"/>
      <c r="E12" s="34"/>
      <c r="F12" s="34">
        <v>1425000</v>
      </c>
      <c r="G12" s="26">
        <f t="shared" si="0"/>
        <v>429932551</v>
      </c>
    </row>
    <row r="13" spans="1:7" ht="27.6" x14ac:dyDescent="0.3">
      <c r="A13" s="27">
        <v>45642</v>
      </c>
      <c r="B13" s="28">
        <v>5129542</v>
      </c>
      <c r="C13" s="28"/>
      <c r="D13" s="20" t="s">
        <v>18</v>
      </c>
      <c r="E13" s="25"/>
      <c r="F13" s="25">
        <v>150000</v>
      </c>
      <c r="G13" s="26">
        <f t="shared" si="0"/>
        <v>429782551</v>
      </c>
    </row>
    <row r="14" spans="1:7" ht="27.6" x14ac:dyDescent="0.3">
      <c r="A14" s="27">
        <v>44217</v>
      </c>
      <c r="B14" s="28">
        <v>5129567</v>
      </c>
      <c r="C14" s="28"/>
      <c r="D14" s="20" t="s">
        <v>19</v>
      </c>
      <c r="E14" s="25"/>
      <c r="F14" s="25">
        <v>1909000</v>
      </c>
      <c r="G14" s="26">
        <f t="shared" si="0"/>
        <v>427873551</v>
      </c>
    </row>
    <row r="15" spans="1:7" ht="27.6" x14ac:dyDescent="0.3">
      <c r="A15" s="27">
        <v>45678</v>
      </c>
      <c r="B15" s="28">
        <v>5129562</v>
      </c>
      <c r="C15" s="28"/>
      <c r="D15" s="20" t="s">
        <v>20</v>
      </c>
      <c r="E15" s="25"/>
      <c r="F15" s="25">
        <v>630000</v>
      </c>
      <c r="G15" s="26">
        <f t="shared" si="0"/>
        <v>427243551</v>
      </c>
    </row>
    <row r="16" spans="1:7" x14ac:dyDescent="0.3">
      <c r="A16" s="27">
        <v>45678</v>
      </c>
      <c r="B16" s="28" t="s">
        <v>22</v>
      </c>
      <c r="C16" s="28"/>
      <c r="D16" s="20" t="s">
        <v>23</v>
      </c>
      <c r="E16" s="25"/>
      <c r="F16" s="25">
        <v>5550000</v>
      </c>
      <c r="G16" s="26">
        <f t="shared" si="0"/>
        <v>421693551</v>
      </c>
    </row>
    <row r="17" spans="1:7" x14ac:dyDescent="0.3">
      <c r="A17" s="27">
        <v>45678</v>
      </c>
      <c r="B17" s="28">
        <v>5129565</v>
      </c>
      <c r="C17" s="28"/>
      <c r="D17" s="20" t="s">
        <v>24</v>
      </c>
      <c r="E17" s="25"/>
      <c r="F17" s="25">
        <v>76000</v>
      </c>
      <c r="G17" s="26">
        <f t="shared" si="0"/>
        <v>421617551</v>
      </c>
    </row>
    <row r="18" spans="1:7" x14ac:dyDescent="0.3">
      <c r="A18" s="27">
        <v>45312</v>
      </c>
      <c r="B18" s="28">
        <v>5129564</v>
      </c>
      <c r="C18" s="28"/>
      <c r="D18" s="20" t="s">
        <v>25</v>
      </c>
      <c r="E18" s="25"/>
      <c r="F18" s="25">
        <v>3285000</v>
      </c>
      <c r="G18" s="26">
        <f t="shared" si="0"/>
        <v>418332551</v>
      </c>
    </row>
    <row r="19" spans="1:7" ht="27.6" x14ac:dyDescent="0.3">
      <c r="A19" s="27">
        <v>45679</v>
      </c>
      <c r="B19" s="28" t="s">
        <v>28</v>
      </c>
      <c r="C19" s="28"/>
      <c r="D19" s="20" t="s">
        <v>29</v>
      </c>
      <c r="E19" s="25"/>
      <c r="F19" s="25">
        <v>1237000</v>
      </c>
      <c r="G19" s="26">
        <f t="shared" si="0"/>
        <v>417095551</v>
      </c>
    </row>
    <row r="20" spans="1:7" ht="27.6" x14ac:dyDescent="0.3">
      <c r="A20" s="27">
        <v>45679</v>
      </c>
      <c r="B20" s="28" t="s">
        <v>30</v>
      </c>
      <c r="C20" s="28"/>
      <c r="D20" s="20" t="s">
        <v>31</v>
      </c>
      <c r="E20" s="25"/>
      <c r="F20" s="25">
        <v>1225800</v>
      </c>
      <c r="G20" s="26">
        <f t="shared" si="0"/>
        <v>415869751</v>
      </c>
    </row>
    <row r="21" spans="1:7" ht="27.6" x14ac:dyDescent="0.3">
      <c r="A21" s="27">
        <v>45678</v>
      </c>
      <c r="B21" s="28">
        <v>5129561</v>
      </c>
      <c r="C21" s="28"/>
      <c r="D21" s="20" t="s">
        <v>32</v>
      </c>
      <c r="E21" s="25"/>
      <c r="F21" s="25">
        <v>4790000</v>
      </c>
      <c r="G21" s="26">
        <f t="shared" si="0"/>
        <v>411079751</v>
      </c>
    </row>
    <row r="22" spans="1:7" ht="27.6" x14ac:dyDescent="0.3">
      <c r="A22" s="27">
        <v>45681</v>
      </c>
      <c r="B22" s="28" t="s">
        <v>33</v>
      </c>
      <c r="C22" s="28"/>
      <c r="D22" s="20" t="s">
        <v>34</v>
      </c>
      <c r="E22" s="25"/>
      <c r="F22" s="25">
        <v>9600000</v>
      </c>
      <c r="G22" s="26">
        <f t="shared" si="0"/>
        <v>401479751</v>
      </c>
    </row>
    <row r="23" spans="1:7" ht="27.6" x14ac:dyDescent="0.3">
      <c r="A23" s="27">
        <v>45681</v>
      </c>
      <c r="B23" s="28" t="s">
        <v>36</v>
      </c>
      <c r="C23" s="28"/>
      <c r="D23" s="20" t="s">
        <v>35</v>
      </c>
      <c r="E23" s="25"/>
      <c r="F23" s="25">
        <v>9600000</v>
      </c>
      <c r="G23" s="26">
        <f t="shared" si="0"/>
        <v>391879751</v>
      </c>
    </row>
    <row r="24" spans="1:7" ht="27.6" x14ac:dyDescent="0.3">
      <c r="A24" s="27">
        <v>45681</v>
      </c>
      <c r="B24" s="28" t="s">
        <v>38</v>
      </c>
      <c r="C24" s="28"/>
      <c r="D24" s="20" t="s">
        <v>37</v>
      </c>
      <c r="E24" s="25"/>
      <c r="F24" s="25">
        <v>9600000</v>
      </c>
      <c r="G24" s="26">
        <f t="shared" si="0"/>
        <v>382279751</v>
      </c>
    </row>
    <row r="25" spans="1:7" x14ac:dyDescent="0.3">
      <c r="A25" s="27">
        <v>45678</v>
      </c>
      <c r="B25" s="28">
        <v>5129563</v>
      </c>
      <c r="C25" s="28"/>
      <c r="D25" s="20" t="s">
        <v>39</v>
      </c>
      <c r="E25" s="25"/>
      <c r="F25" s="25">
        <v>3243000</v>
      </c>
      <c r="G25" s="26">
        <f t="shared" si="0"/>
        <v>379036751</v>
      </c>
    </row>
    <row r="26" spans="1:7" x14ac:dyDescent="0.3">
      <c r="A26" s="31">
        <v>45686</v>
      </c>
      <c r="B26" s="32">
        <v>5129568</v>
      </c>
      <c r="C26" s="32"/>
      <c r="D26" s="33"/>
      <c r="E26" s="34"/>
      <c r="F26" s="34">
        <v>6999500</v>
      </c>
      <c r="G26" s="26">
        <f t="shared" si="0"/>
        <v>372037251</v>
      </c>
    </row>
    <row r="27" spans="1:7" x14ac:dyDescent="0.3">
      <c r="A27" s="27">
        <v>45685</v>
      </c>
      <c r="B27" s="28">
        <v>5129569</v>
      </c>
      <c r="C27" s="28"/>
      <c r="D27" s="20" t="s">
        <v>40</v>
      </c>
      <c r="E27" s="25"/>
      <c r="F27" s="25">
        <v>888500</v>
      </c>
      <c r="G27" s="26">
        <f t="shared" si="0"/>
        <v>371148751</v>
      </c>
    </row>
    <row r="28" spans="1:7" ht="15.6" x14ac:dyDescent="0.3">
      <c r="A28" s="351" t="s">
        <v>9</v>
      </c>
      <c r="B28" s="352"/>
      <c r="C28" s="352"/>
      <c r="D28" s="353"/>
      <c r="E28" s="30">
        <f>SUM(E4:E27)</f>
        <v>446431551</v>
      </c>
      <c r="F28" s="30">
        <f>SUM(F4:F27)</f>
        <v>75282800</v>
      </c>
      <c r="G28" s="29">
        <f>G27</f>
        <v>371148751</v>
      </c>
    </row>
    <row r="30" spans="1:7" ht="18" x14ac:dyDescent="0.35">
      <c r="A30" s="358" t="s">
        <v>207</v>
      </c>
      <c r="B30" s="359"/>
      <c r="C30" s="359"/>
      <c r="D30" s="359"/>
      <c r="E30" s="359"/>
      <c r="F30" s="359"/>
      <c r="G30" s="359"/>
    </row>
    <row r="31" spans="1:7" x14ac:dyDescent="0.3">
      <c r="A31" s="177" t="s">
        <v>0</v>
      </c>
      <c r="B31" s="178" t="s">
        <v>5</v>
      </c>
      <c r="C31" s="178" t="s">
        <v>394</v>
      </c>
      <c r="D31" s="179" t="s">
        <v>21</v>
      </c>
      <c r="E31" s="192" t="s">
        <v>2</v>
      </c>
      <c r="F31" s="183" t="s">
        <v>3</v>
      </c>
      <c r="G31" s="180" t="s">
        <v>4</v>
      </c>
    </row>
    <row r="32" spans="1:7" x14ac:dyDescent="0.3">
      <c r="A32" s="186">
        <v>45689</v>
      </c>
      <c r="B32" s="187" t="s">
        <v>208</v>
      </c>
      <c r="C32" s="187"/>
      <c r="D32" s="188" t="s">
        <v>728</v>
      </c>
      <c r="E32" s="189">
        <f>G28</f>
        <v>371148751</v>
      </c>
      <c r="F32" s="189"/>
      <c r="G32" s="189">
        <f>E32-F32</f>
        <v>371148751</v>
      </c>
    </row>
    <row r="33" spans="1:7" ht="28.2" x14ac:dyDescent="0.3">
      <c r="A33" s="186">
        <v>45691</v>
      </c>
      <c r="B33" s="187">
        <v>5129570</v>
      </c>
      <c r="C33" s="187"/>
      <c r="D33" s="188" t="s">
        <v>210</v>
      </c>
      <c r="E33" s="189"/>
      <c r="F33" s="189">
        <v>3607000</v>
      </c>
      <c r="G33" s="189">
        <f>G32+E33-F33</f>
        <v>367541751</v>
      </c>
    </row>
    <row r="34" spans="1:7" ht="28.2" x14ac:dyDescent="0.3">
      <c r="A34" s="186">
        <v>45691</v>
      </c>
      <c r="B34" s="187">
        <v>5129571</v>
      </c>
      <c r="C34" s="187"/>
      <c r="D34" s="188" t="s">
        <v>210</v>
      </c>
      <c r="E34" s="189"/>
      <c r="F34" s="189">
        <v>3607000</v>
      </c>
      <c r="G34" s="189">
        <f t="shared" ref="G34:G46" si="1">G33+E34-F34</f>
        <v>363934751</v>
      </c>
    </row>
    <row r="35" spans="1:7" x14ac:dyDescent="0.3">
      <c r="A35" s="186">
        <v>45692</v>
      </c>
      <c r="B35" s="187" t="s">
        <v>223</v>
      </c>
      <c r="C35" s="187"/>
      <c r="D35" s="188" t="s">
        <v>224</v>
      </c>
      <c r="E35" s="189">
        <v>385298</v>
      </c>
      <c r="F35" s="189"/>
      <c r="G35" s="189">
        <f t="shared" si="1"/>
        <v>364320049</v>
      </c>
    </row>
    <row r="36" spans="1:7" x14ac:dyDescent="0.3">
      <c r="A36" s="186">
        <v>44962</v>
      </c>
      <c r="B36" s="187" t="s">
        <v>211</v>
      </c>
      <c r="C36" s="187"/>
      <c r="D36" s="188" t="s">
        <v>212</v>
      </c>
      <c r="E36" s="189"/>
      <c r="F36" s="189">
        <v>500000</v>
      </c>
      <c r="G36" s="189">
        <f t="shared" si="1"/>
        <v>363820049</v>
      </c>
    </row>
    <row r="37" spans="1:7" x14ac:dyDescent="0.3">
      <c r="A37" s="186">
        <v>45693</v>
      </c>
      <c r="B37" s="187" t="s">
        <v>213</v>
      </c>
      <c r="C37" s="187"/>
      <c r="D37" s="188" t="s">
        <v>212</v>
      </c>
      <c r="E37" s="189"/>
      <c r="F37" s="189">
        <v>500000</v>
      </c>
      <c r="G37" s="189">
        <f t="shared" si="1"/>
        <v>363320049</v>
      </c>
    </row>
    <row r="38" spans="1:7" x14ac:dyDescent="0.3">
      <c r="A38" s="186">
        <v>45706</v>
      </c>
      <c r="B38" s="187" t="s">
        <v>214</v>
      </c>
      <c r="C38" s="187"/>
      <c r="D38" s="188" t="s">
        <v>215</v>
      </c>
      <c r="E38" s="189"/>
      <c r="F38" s="189">
        <v>1100000</v>
      </c>
      <c r="G38" s="189">
        <f t="shared" si="1"/>
        <v>362220049</v>
      </c>
    </row>
    <row r="39" spans="1:7" x14ac:dyDescent="0.3">
      <c r="A39" s="186">
        <v>45706</v>
      </c>
      <c r="B39" s="187">
        <v>5129573</v>
      </c>
      <c r="C39" s="187"/>
      <c r="D39" s="188" t="s">
        <v>216</v>
      </c>
      <c r="E39" s="189"/>
      <c r="F39" s="189">
        <v>1805000</v>
      </c>
      <c r="G39" s="189">
        <f t="shared" si="1"/>
        <v>360415049</v>
      </c>
    </row>
    <row r="40" spans="1:7" ht="28.2" x14ac:dyDescent="0.3">
      <c r="A40" s="186">
        <v>45678</v>
      </c>
      <c r="B40" s="187">
        <v>5129566</v>
      </c>
      <c r="C40" s="187"/>
      <c r="D40" s="188" t="s">
        <v>217</v>
      </c>
      <c r="E40" s="189"/>
      <c r="F40" s="189">
        <v>33000</v>
      </c>
      <c r="G40" s="189">
        <f t="shared" si="1"/>
        <v>360382049</v>
      </c>
    </row>
    <row r="41" spans="1:7" x14ac:dyDescent="0.3">
      <c r="A41" s="186">
        <v>45706</v>
      </c>
      <c r="B41" s="187" t="s">
        <v>214</v>
      </c>
      <c r="C41" s="187"/>
      <c r="D41" s="188" t="s">
        <v>218</v>
      </c>
      <c r="E41" s="189"/>
      <c r="F41" s="189">
        <v>4040695</v>
      </c>
      <c r="G41" s="189">
        <f t="shared" si="1"/>
        <v>356341354</v>
      </c>
    </row>
    <row r="42" spans="1:7" x14ac:dyDescent="0.3">
      <c r="A42" s="186">
        <v>45692</v>
      </c>
      <c r="B42" s="187">
        <v>5129572</v>
      </c>
      <c r="C42" s="187"/>
      <c r="D42" s="188" t="s">
        <v>219</v>
      </c>
      <c r="E42" s="189"/>
      <c r="F42" s="189">
        <v>3265000</v>
      </c>
      <c r="G42" s="189">
        <f t="shared" si="1"/>
        <v>353076354</v>
      </c>
    </row>
    <row r="43" spans="1:7" x14ac:dyDescent="0.3">
      <c r="A43" s="186">
        <v>45706</v>
      </c>
      <c r="B43" s="187">
        <v>5129574</v>
      </c>
      <c r="C43" s="187"/>
      <c r="D43" s="188" t="s">
        <v>220</v>
      </c>
      <c r="E43" s="189"/>
      <c r="F43" s="189">
        <v>465000</v>
      </c>
      <c r="G43" s="189">
        <f t="shared" si="1"/>
        <v>352611354</v>
      </c>
    </row>
    <row r="44" spans="1:7" x14ac:dyDescent="0.3">
      <c r="A44" s="186">
        <v>45712</v>
      </c>
      <c r="B44" s="187">
        <v>5129575</v>
      </c>
      <c r="C44" s="187"/>
      <c r="D44" s="188" t="s">
        <v>221</v>
      </c>
      <c r="E44" s="189"/>
      <c r="F44" s="189">
        <v>1214320</v>
      </c>
      <c r="G44" s="189">
        <f t="shared" si="1"/>
        <v>351397034</v>
      </c>
    </row>
    <row r="45" spans="1:7" x14ac:dyDescent="0.3">
      <c r="A45" s="186">
        <v>45712</v>
      </c>
      <c r="B45" s="187">
        <v>5129576</v>
      </c>
      <c r="C45" s="187"/>
      <c r="D45" s="188" t="s">
        <v>222</v>
      </c>
      <c r="E45" s="189"/>
      <c r="F45" s="189">
        <v>73000</v>
      </c>
      <c r="G45" s="189">
        <f t="shared" si="1"/>
        <v>351324034</v>
      </c>
    </row>
    <row r="46" spans="1:7" x14ac:dyDescent="0.3">
      <c r="A46" s="186"/>
      <c r="B46" s="187"/>
      <c r="C46" s="187"/>
      <c r="D46" s="188"/>
      <c r="E46" s="189"/>
      <c r="F46" s="189"/>
      <c r="G46" s="189">
        <f t="shared" si="1"/>
        <v>351324034</v>
      </c>
    </row>
    <row r="47" spans="1:7" ht="15.6" x14ac:dyDescent="0.3">
      <c r="A47" s="351" t="s">
        <v>225</v>
      </c>
      <c r="B47" s="352"/>
      <c r="C47" s="352"/>
      <c r="D47" s="353"/>
      <c r="E47" s="30">
        <f>SUM(E32:E46)</f>
        <v>371534049</v>
      </c>
      <c r="F47" s="30">
        <f>SUM(F32:F46)</f>
        <v>20210015</v>
      </c>
      <c r="G47" s="29">
        <f>G46</f>
        <v>351324034</v>
      </c>
    </row>
    <row r="49" spans="1:7" ht="15.6" x14ac:dyDescent="0.3">
      <c r="A49" s="360">
        <v>45352</v>
      </c>
      <c r="B49" s="361"/>
      <c r="C49" s="361"/>
      <c r="D49" s="361"/>
      <c r="E49" s="361"/>
      <c r="F49" s="361"/>
      <c r="G49" s="361"/>
    </row>
    <row r="50" spans="1:7" ht="15.6" x14ac:dyDescent="0.3">
      <c r="A50" s="4" t="s">
        <v>0</v>
      </c>
      <c r="B50" s="10" t="s">
        <v>5</v>
      </c>
      <c r="C50" s="10" t="s">
        <v>394</v>
      </c>
      <c r="D50" s="5" t="s">
        <v>1</v>
      </c>
      <c r="E50" s="193" t="s">
        <v>2</v>
      </c>
      <c r="F50" s="185" t="s">
        <v>3</v>
      </c>
      <c r="G50" s="6" t="s">
        <v>4</v>
      </c>
    </row>
    <row r="51" spans="1:7" x14ac:dyDescent="0.3">
      <c r="A51" s="186">
        <v>45717</v>
      </c>
      <c r="B51" s="187" t="s">
        <v>208</v>
      </c>
      <c r="C51" s="304"/>
      <c r="D51" s="188" t="s">
        <v>793</v>
      </c>
      <c r="E51" s="189">
        <f>G47</f>
        <v>351324034</v>
      </c>
      <c r="F51" s="189"/>
      <c r="G51" s="189">
        <f>E51-F51</f>
        <v>351324034</v>
      </c>
    </row>
    <row r="52" spans="1:7" x14ac:dyDescent="0.3">
      <c r="A52" s="186">
        <v>45712</v>
      </c>
      <c r="B52" s="187">
        <v>5129577</v>
      </c>
      <c r="C52" s="304" t="s">
        <v>747</v>
      </c>
      <c r="D52" s="188" t="s">
        <v>748</v>
      </c>
      <c r="E52" s="189"/>
      <c r="F52" s="189">
        <v>375000</v>
      </c>
      <c r="G52" s="189">
        <f>G51+E52-F52</f>
        <v>350949034</v>
      </c>
    </row>
    <row r="53" spans="1:7" x14ac:dyDescent="0.3">
      <c r="A53" s="186">
        <v>45713</v>
      </c>
      <c r="B53" s="187">
        <v>5129579</v>
      </c>
      <c r="C53" s="304" t="s">
        <v>734</v>
      </c>
      <c r="D53" s="188" t="s">
        <v>729</v>
      </c>
      <c r="E53" s="189"/>
      <c r="F53" s="189">
        <v>4990600</v>
      </c>
      <c r="G53" s="189">
        <f t="shared" ref="G53:G78" si="2">G52+E53-F53</f>
        <v>345958434</v>
      </c>
    </row>
    <row r="54" spans="1:7" ht="28.2" x14ac:dyDescent="0.3">
      <c r="A54" s="186">
        <v>45716</v>
      </c>
      <c r="B54" s="187">
        <v>5129580</v>
      </c>
      <c r="C54" s="304" t="s">
        <v>733</v>
      </c>
      <c r="D54" s="188" t="s">
        <v>730</v>
      </c>
      <c r="E54" s="189"/>
      <c r="F54" s="189">
        <v>850000</v>
      </c>
      <c r="G54" s="189">
        <f t="shared" si="2"/>
        <v>345108434</v>
      </c>
    </row>
    <row r="55" spans="1:7" x14ac:dyDescent="0.3">
      <c r="A55" s="186">
        <v>45719</v>
      </c>
      <c r="B55" s="187">
        <v>5129578</v>
      </c>
      <c r="C55" s="304"/>
      <c r="D55" s="188"/>
      <c r="E55" s="189"/>
      <c r="F55" s="222">
        <v>10000000</v>
      </c>
      <c r="G55" s="189">
        <f t="shared" si="2"/>
        <v>335108434</v>
      </c>
    </row>
    <row r="56" spans="1:7" ht="28.2" x14ac:dyDescent="0.3">
      <c r="A56" s="186">
        <v>45719</v>
      </c>
      <c r="B56" s="187" t="s">
        <v>736</v>
      </c>
      <c r="C56" s="304" t="s">
        <v>737</v>
      </c>
      <c r="D56" s="188" t="s">
        <v>738</v>
      </c>
      <c r="E56" s="189"/>
      <c r="F56" s="214">
        <v>2250000</v>
      </c>
      <c r="G56" s="189">
        <f t="shared" si="2"/>
        <v>332858434</v>
      </c>
    </row>
    <row r="57" spans="1:7" x14ac:dyDescent="0.3">
      <c r="A57" s="186">
        <v>45719</v>
      </c>
      <c r="B57" s="187">
        <v>5129583</v>
      </c>
      <c r="C57" s="304"/>
      <c r="D57" s="188" t="s">
        <v>751</v>
      </c>
      <c r="E57" s="189"/>
      <c r="F57" s="189">
        <v>3244000</v>
      </c>
      <c r="G57" s="189">
        <f t="shared" si="2"/>
        <v>329614434</v>
      </c>
    </row>
    <row r="58" spans="1:7" x14ac:dyDescent="0.3">
      <c r="A58" s="186">
        <v>45721</v>
      </c>
      <c r="B58" s="187">
        <v>5129584</v>
      </c>
      <c r="C58" s="304"/>
      <c r="D58" s="188"/>
      <c r="E58" s="189"/>
      <c r="F58" s="222">
        <v>1387000</v>
      </c>
      <c r="G58" s="189">
        <f t="shared" si="2"/>
        <v>328227434</v>
      </c>
    </row>
    <row r="59" spans="1:7" x14ac:dyDescent="0.3">
      <c r="A59" s="186">
        <v>45721</v>
      </c>
      <c r="B59" s="187">
        <v>5129592</v>
      </c>
      <c r="C59" s="304" t="s">
        <v>739</v>
      </c>
      <c r="D59" s="188" t="s">
        <v>740</v>
      </c>
      <c r="E59" s="189"/>
      <c r="F59" s="189">
        <v>709000</v>
      </c>
      <c r="G59" s="189">
        <f t="shared" si="2"/>
        <v>327518434</v>
      </c>
    </row>
    <row r="60" spans="1:7" x14ac:dyDescent="0.3">
      <c r="A60" s="186">
        <v>45721</v>
      </c>
      <c r="B60" s="187">
        <v>5129590</v>
      </c>
      <c r="C60" s="304" t="s">
        <v>741</v>
      </c>
      <c r="D60" s="188" t="s">
        <v>742</v>
      </c>
      <c r="E60" s="189"/>
      <c r="F60" s="189">
        <v>987500</v>
      </c>
      <c r="G60" s="189">
        <f t="shared" si="2"/>
        <v>326530934</v>
      </c>
    </row>
    <row r="61" spans="1:7" x14ac:dyDescent="0.3">
      <c r="A61" s="186">
        <v>45721</v>
      </c>
      <c r="B61" s="187">
        <v>5129587</v>
      </c>
      <c r="C61" s="304" t="s">
        <v>745</v>
      </c>
      <c r="D61" s="188" t="s">
        <v>746</v>
      </c>
      <c r="E61" s="189"/>
      <c r="F61" s="189">
        <v>2184500</v>
      </c>
      <c r="G61" s="189">
        <f t="shared" si="2"/>
        <v>324346434</v>
      </c>
    </row>
    <row r="62" spans="1:7" ht="28.2" x14ac:dyDescent="0.3">
      <c r="A62" s="186">
        <v>45722</v>
      </c>
      <c r="B62" s="187" t="s">
        <v>731</v>
      </c>
      <c r="C62" s="304" t="s">
        <v>732</v>
      </c>
      <c r="D62" s="188" t="s">
        <v>735</v>
      </c>
      <c r="E62" s="189"/>
      <c r="F62" s="189">
        <v>631950</v>
      </c>
      <c r="G62" s="189">
        <f t="shared" si="2"/>
        <v>323714484</v>
      </c>
    </row>
    <row r="63" spans="1:7" x14ac:dyDescent="0.3">
      <c r="A63" s="186">
        <v>45723</v>
      </c>
      <c r="B63" s="187">
        <v>5129595</v>
      </c>
      <c r="C63" s="304" t="s">
        <v>743</v>
      </c>
      <c r="D63" s="188" t="s">
        <v>744</v>
      </c>
      <c r="E63" s="189"/>
      <c r="F63" s="189">
        <v>719500</v>
      </c>
      <c r="G63" s="189">
        <f t="shared" si="2"/>
        <v>322994984</v>
      </c>
    </row>
    <row r="64" spans="1:7" x14ac:dyDescent="0.3">
      <c r="A64" s="186">
        <v>45723</v>
      </c>
      <c r="B64" s="187">
        <v>5129594</v>
      </c>
      <c r="C64" s="304" t="s">
        <v>753</v>
      </c>
      <c r="D64" s="188" t="s">
        <v>752</v>
      </c>
      <c r="E64" s="189"/>
      <c r="F64" s="189">
        <v>3741000</v>
      </c>
      <c r="G64" s="189">
        <f t="shared" si="2"/>
        <v>319253984</v>
      </c>
    </row>
    <row r="65" spans="1:7" x14ac:dyDescent="0.3">
      <c r="A65" s="186">
        <v>45723</v>
      </c>
      <c r="B65" s="187" t="s">
        <v>223</v>
      </c>
      <c r="C65" s="187"/>
      <c r="D65" s="188" t="s">
        <v>224</v>
      </c>
      <c r="E65" s="189">
        <v>385298</v>
      </c>
      <c r="F65" s="189"/>
      <c r="G65" s="189">
        <f t="shared" si="2"/>
        <v>319639282</v>
      </c>
    </row>
    <row r="66" spans="1:7" x14ac:dyDescent="0.3">
      <c r="A66" s="186">
        <v>45723</v>
      </c>
      <c r="B66" s="187" t="s">
        <v>223</v>
      </c>
      <c r="C66" s="187"/>
      <c r="D66" s="188" t="s">
        <v>224</v>
      </c>
      <c r="E66" s="189">
        <v>143614</v>
      </c>
      <c r="F66" s="189"/>
      <c r="G66" s="189">
        <f t="shared" si="2"/>
        <v>319782896</v>
      </c>
    </row>
    <row r="67" spans="1:7" x14ac:dyDescent="0.3">
      <c r="A67" s="186">
        <v>45723</v>
      </c>
      <c r="B67" s="187" t="s">
        <v>223</v>
      </c>
      <c r="C67" s="187"/>
      <c r="D67" s="188" t="s">
        <v>224</v>
      </c>
      <c r="E67" s="189">
        <v>143614</v>
      </c>
      <c r="F67" s="189"/>
      <c r="G67" s="189">
        <f t="shared" si="2"/>
        <v>319926510</v>
      </c>
    </row>
    <row r="68" spans="1:7" x14ac:dyDescent="0.3">
      <c r="A68" s="186">
        <v>45726</v>
      </c>
      <c r="B68" s="187">
        <v>5129591</v>
      </c>
      <c r="C68" s="304" t="s">
        <v>769</v>
      </c>
      <c r="D68" s="188" t="s">
        <v>770</v>
      </c>
      <c r="E68" s="189"/>
      <c r="F68" s="214">
        <v>987500</v>
      </c>
      <c r="G68" s="189">
        <f t="shared" si="2"/>
        <v>318939010</v>
      </c>
    </row>
    <row r="69" spans="1:7" x14ac:dyDescent="0.3">
      <c r="A69" s="186">
        <v>45726</v>
      </c>
      <c r="B69" s="187" t="s">
        <v>765</v>
      </c>
      <c r="C69" s="304"/>
      <c r="D69" s="188" t="s">
        <v>766</v>
      </c>
      <c r="E69" s="189"/>
      <c r="F69" s="189">
        <v>18500000</v>
      </c>
      <c r="G69" s="189">
        <f t="shared" si="2"/>
        <v>300439010</v>
      </c>
    </row>
    <row r="70" spans="1:7" x14ac:dyDescent="0.3">
      <c r="A70" s="186">
        <v>45726</v>
      </c>
      <c r="B70" s="187" t="s">
        <v>765</v>
      </c>
      <c r="C70" s="304"/>
      <c r="D70" s="188" t="s">
        <v>767</v>
      </c>
      <c r="E70" s="189"/>
      <c r="F70" s="189">
        <v>49200000</v>
      </c>
      <c r="G70" s="189">
        <f t="shared" si="2"/>
        <v>251239010</v>
      </c>
    </row>
    <row r="71" spans="1:7" x14ac:dyDescent="0.3">
      <c r="A71" s="186">
        <v>45726</v>
      </c>
      <c r="B71" s="187" t="s">
        <v>768</v>
      </c>
      <c r="C71" s="304"/>
      <c r="D71" s="188" t="s">
        <v>767</v>
      </c>
      <c r="E71" s="189"/>
      <c r="F71" s="189">
        <v>46800000</v>
      </c>
      <c r="G71" s="189">
        <f t="shared" si="2"/>
        <v>204439010</v>
      </c>
    </row>
    <row r="72" spans="1:7" x14ac:dyDescent="0.3">
      <c r="A72" s="186">
        <v>45729</v>
      </c>
      <c r="B72" s="187">
        <v>5129596</v>
      </c>
      <c r="C72" s="304" t="s">
        <v>749</v>
      </c>
      <c r="D72" s="188" t="s">
        <v>750</v>
      </c>
      <c r="E72" s="189"/>
      <c r="F72" s="189">
        <v>525000</v>
      </c>
      <c r="G72" s="189">
        <f t="shared" si="2"/>
        <v>203914010</v>
      </c>
    </row>
    <row r="73" spans="1:7" x14ac:dyDescent="0.3">
      <c r="A73" s="186">
        <v>45733</v>
      </c>
      <c r="B73" s="187">
        <v>5129586</v>
      </c>
      <c r="C73" s="304"/>
      <c r="D73" s="188"/>
      <c r="E73" s="189"/>
      <c r="F73" s="222">
        <v>1824000</v>
      </c>
      <c r="G73" s="189">
        <f t="shared" si="2"/>
        <v>202090010</v>
      </c>
    </row>
    <row r="74" spans="1:7" ht="18" customHeight="1" x14ac:dyDescent="0.3">
      <c r="A74" s="186">
        <v>45733</v>
      </c>
      <c r="B74" s="187" t="s">
        <v>754</v>
      </c>
      <c r="C74" s="304" t="s">
        <v>755</v>
      </c>
      <c r="D74" s="188" t="s">
        <v>756</v>
      </c>
      <c r="E74" s="189"/>
      <c r="F74" s="189">
        <v>4997500</v>
      </c>
      <c r="G74" s="189">
        <f t="shared" si="2"/>
        <v>197092510</v>
      </c>
    </row>
    <row r="75" spans="1:7" x14ac:dyDescent="0.3">
      <c r="A75" s="186">
        <v>45733</v>
      </c>
      <c r="B75" s="187" t="s">
        <v>757</v>
      </c>
      <c r="C75" s="304" t="s">
        <v>758</v>
      </c>
      <c r="D75" s="188" t="s">
        <v>759</v>
      </c>
      <c r="E75" s="189"/>
      <c r="F75" s="189">
        <v>900000</v>
      </c>
      <c r="G75" s="189">
        <f t="shared" si="2"/>
        <v>196192510</v>
      </c>
    </row>
    <row r="76" spans="1:7" ht="15.6" x14ac:dyDescent="0.3">
      <c r="A76" s="186">
        <v>45733</v>
      </c>
      <c r="B76" s="187" t="s">
        <v>760</v>
      </c>
      <c r="C76" s="304" t="s">
        <v>761</v>
      </c>
      <c r="D76" s="223" t="s">
        <v>762</v>
      </c>
      <c r="E76" s="189"/>
      <c r="F76" s="99">
        <v>741000</v>
      </c>
      <c r="G76" s="189">
        <f t="shared" si="2"/>
        <v>195451510</v>
      </c>
    </row>
    <row r="77" spans="1:7" ht="15.6" x14ac:dyDescent="0.3">
      <c r="A77" s="186">
        <v>45733</v>
      </c>
      <c r="B77" s="187" t="s">
        <v>763</v>
      </c>
      <c r="C77" s="304" t="s">
        <v>761</v>
      </c>
      <c r="D77" s="223" t="s">
        <v>764</v>
      </c>
      <c r="E77" s="189"/>
      <c r="F77" s="99">
        <v>783500</v>
      </c>
      <c r="G77" s="189">
        <f t="shared" si="2"/>
        <v>194668010</v>
      </c>
    </row>
    <row r="78" spans="1:7" ht="15.6" x14ac:dyDescent="0.3">
      <c r="A78" s="186"/>
      <c r="B78" s="187"/>
      <c r="C78" s="187"/>
      <c r="D78" s="223"/>
      <c r="E78" s="189"/>
      <c r="F78" s="99"/>
      <c r="G78" s="189">
        <f t="shared" si="2"/>
        <v>194668010</v>
      </c>
    </row>
    <row r="79" spans="1:7" ht="15.6" x14ac:dyDescent="0.3">
      <c r="A79" s="351" t="s">
        <v>792</v>
      </c>
      <c r="B79" s="352"/>
      <c r="C79" s="352"/>
      <c r="D79" s="353"/>
      <c r="E79" s="30">
        <f>SUM(E51:E78)</f>
        <v>351996560</v>
      </c>
      <c r="F79" s="30">
        <f>SUM(F51:F78)</f>
        <v>157328550</v>
      </c>
      <c r="G79" s="29">
        <f>G78</f>
        <v>194668010</v>
      </c>
    </row>
    <row r="81" spans="1:7" ht="15.6" x14ac:dyDescent="0.3">
      <c r="A81" s="349">
        <v>45383</v>
      </c>
      <c r="B81" s="350"/>
      <c r="C81" s="350"/>
      <c r="D81" s="350"/>
      <c r="E81" s="350"/>
      <c r="F81" s="350"/>
      <c r="G81" s="350"/>
    </row>
    <row r="82" spans="1:7" ht="15.6" x14ac:dyDescent="0.3">
      <c r="A82" s="14" t="s">
        <v>0</v>
      </c>
      <c r="B82" s="15" t="s">
        <v>5</v>
      </c>
      <c r="C82" s="15"/>
      <c r="D82" s="16" t="s">
        <v>1</v>
      </c>
      <c r="E82" s="190" t="s">
        <v>2</v>
      </c>
      <c r="F82" s="181" t="s">
        <v>3</v>
      </c>
      <c r="G82" s="17" t="s">
        <v>4</v>
      </c>
    </row>
    <row r="83" spans="1:7" x14ac:dyDescent="0.3">
      <c r="A83" s="321">
        <v>45750</v>
      </c>
      <c r="B83" s="187" t="s">
        <v>208</v>
      </c>
      <c r="C83" s="187"/>
      <c r="D83" s="188" t="s">
        <v>794</v>
      </c>
      <c r="E83" s="189">
        <f>G79</f>
        <v>194668010</v>
      </c>
      <c r="F83" s="189"/>
      <c r="G83" s="189">
        <f>E83-F83</f>
        <v>194668010</v>
      </c>
    </row>
    <row r="84" spans="1:7" x14ac:dyDescent="0.3">
      <c r="A84" s="186">
        <v>45750</v>
      </c>
      <c r="B84" s="187">
        <v>5129597</v>
      </c>
      <c r="C84" s="187"/>
      <c r="D84" s="188" t="s">
        <v>778</v>
      </c>
      <c r="E84" s="189"/>
      <c r="F84" s="189">
        <v>3757000</v>
      </c>
      <c r="G84" s="189">
        <f t="shared" ref="G84:G91" si="3">SUM(G83+E84-F84)</f>
        <v>190911010</v>
      </c>
    </row>
    <row r="85" spans="1:7" x14ac:dyDescent="0.3">
      <c r="A85" s="186">
        <v>45755</v>
      </c>
      <c r="B85" s="187">
        <v>5129598</v>
      </c>
      <c r="C85" s="187"/>
      <c r="D85" s="188" t="s">
        <v>784</v>
      </c>
      <c r="E85" s="189"/>
      <c r="F85" s="189">
        <v>12000000</v>
      </c>
      <c r="G85" s="189">
        <f t="shared" si="3"/>
        <v>178911010</v>
      </c>
    </row>
    <row r="86" spans="1:7" ht="28.2" x14ac:dyDescent="0.3">
      <c r="A86" s="186">
        <v>45756</v>
      </c>
      <c r="B86" s="187">
        <v>5129600</v>
      </c>
      <c r="C86" s="187"/>
      <c r="D86" s="188" t="s">
        <v>780</v>
      </c>
      <c r="E86" s="189"/>
      <c r="F86" s="189">
        <v>13525000</v>
      </c>
      <c r="G86" s="189">
        <f t="shared" si="3"/>
        <v>165386010</v>
      </c>
    </row>
    <row r="87" spans="1:7" ht="28.2" x14ac:dyDescent="0.3">
      <c r="A87" s="186">
        <v>45756</v>
      </c>
      <c r="B87" s="187">
        <v>5129603</v>
      </c>
      <c r="C87" s="187"/>
      <c r="D87" s="188" t="s">
        <v>782</v>
      </c>
      <c r="E87" s="189"/>
      <c r="F87" s="189">
        <v>5980550</v>
      </c>
      <c r="G87" s="189">
        <f t="shared" si="3"/>
        <v>159405460</v>
      </c>
    </row>
    <row r="88" spans="1:7" ht="28.2" x14ac:dyDescent="0.3">
      <c r="A88" s="186">
        <v>45756</v>
      </c>
      <c r="B88" s="187">
        <v>5129599</v>
      </c>
      <c r="C88" s="187"/>
      <c r="D88" s="188" t="s">
        <v>787</v>
      </c>
      <c r="E88" s="189"/>
      <c r="F88" s="189">
        <v>325000</v>
      </c>
      <c r="G88" s="189">
        <f t="shared" si="3"/>
        <v>159080460</v>
      </c>
    </row>
    <row r="89" spans="1:7" x14ac:dyDescent="0.3">
      <c r="A89" s="323">
        <v>45762</v>
      </c>
      <c r="B89" s="220">
        <v>5129602</v>
      </c>
      <c r="C89" s="220"/>
      <c r="D89" s="322" t="s">
        <v>783</v>
      </c>
      <c r="E89" s="222"/>
      <c r="F89" s="222">
        <v>1500000</v>
      </c>
      <c r="G89" s="189">
        <f t="shared" si="3"/>
        <v>157580460</v>
      </c>
    </row>
    <row r="90" spans="1:7" x14ac:dyDescent="0.3">
      <c r="A90" s="186">
        <v>45764</v>
      </c>
      <c r="B90" s="187">
        <v>5129604</v>
      </c>
      <c r="C90" s="187"/>
      <c r="D90" s="188" t="s">
        <v>788</v>
      </c>
      <c r="E90" s="189"/>
      <c r="F90" s="189">
        <v>2000000</v>
      </c>
      <c r="G90" s="189">
        <f t="shared" si="3"/>
        <v>155580460</v>
      </c>
    </row>
    <row r="91" spans="1:7" x14ac:dyDescent="0.3">
      <c r="A91" s="323">
        <v>45765</v>
      </c>
      <c r="B91" s="220">
        <v>5129601</v>
      </c>
      <c r="C91" s="220"/>
      <c r="D91" s="322" t="s">
        <v>790</v>
      </c>
      <c r="E91" s="222"/>
      <c r="F91" s="222">
        <v>1500000</v>
      </c>
      <c r="G91" s="189">
        <f t="shared" si="3"/>
        <v>154080460</v>
      </c>
    </row>
    <row r="92" spans="1:7" x14ac:dyDescent="0.3">
      <c r="A92" s="186"/>
      <c r="B92" s="187"/>
      <c r="C92" s="187"/>
      <c r="D92" s="188"/>
      <c r="E92" s="189"/>
      <c r="F92" s="189"/>
      <c r="G92" s="189">
        <f>SUM(G91+E92-F92)</f>
        <v>154080460</v>
      </c>
    </row>
    <row r="93" spans="1:7" ht="15.6" x14ac:dyDescent="0.3">
      <c r="A93" s="351" t="s">
        <v>854</v>
      </c>
      <c r="B93" s="352"/>
      <c r="C93" s="352"/>
      <c r="D93" s="353"/>
      <c r="E93" s="30">
        <f>SUM(E83:E92)</f>
        <v>194668010</v>
      </c>
      <c r="F93" s="30">
        <f>SUM(F83:F92)</f>
        <v>40587550</v>
      </c>
      <c r="G93" s="29">
        <f>G92</f>
        <v>154080460</v>
      </c>
    </row>
    <row r="95" spans="1:7" ht="15.6" x14ac:dyDescent="0.3">
      <c r="A95" s="349">
        <v>45413</v>
      </c>
      <c r="B95" s="350"/>
      <c r="C95" s="350"/>
      <c r="D95" s="350"/>
      <c r="E95" s="350"/>
      <c r="F95" s="350"/>
      <c r="G95" s="350"/>
    </row>
    <row r="96" spans="1:7" ht="15.6" x14ac:dyDescent="0.3">
      <c r="A96" s="14" t="s">
        <v>0</v>
      </c>
      <c r="B96" s="15" t="s">
        <v>5</v>
      </c>
      <c r="C96" s="15"/>
      <c r="D96" s="16" t="s">
        <v>1</v>
      </c>
      <c r="E96" s="190" t="s">
        <v>2</v>
      </c>
      <c r="F96" s="181" t="s">
        <v>3</v>
      </c>
      <c r="G96" s="17" t="s">
        <v>4</v>
      </c>
    </row>
    <row r="97" spans="1:7" x14ac:dyDescent="0.3">
      <c r="A97" s="186">
        <v>45428</v>
      </c>
      <c r="B97" s="187" t="s">
        <v>208</v>
      </c>
      <c r="C97" s="187"/>
      <c r="D97" s="188" t="s">
        <v>925</v>
      </c>
      <c r="E97" s="189">
        <f>G93</f>
        <v>154080460</v>
      </c>
      <c r="F97" s="189"/>
      <c r="G97" s="189">
        <f>SUM(E97-F97)</f>
        <v>154080460</v>
      </c>
    </row>
    <row r="98" spans="1:7" ht="28.2" x14ac:dyDescent="0.3">
      <c r="A98" s="324">
        <v>45783</v>
      </c>
      <c r="B98" s="187">
        <v>5129610</v>
      </c>
      <c r="C98" s="187"/>
      <c r="D98" s="188" t="s">
        <v>795</v>
      </c>
      <c r="E98" s="189"/>
      <c r="F98" s="189">
        <v>930000</v>
      </c>
      <c r="G98" s="189">
        <f>SUM(G97+E98-F98)</f>
        <v>153150460</v>
      </c>
    </row>
    <row r="99" spans="1:7" ht="42" x14ac:dyDescent="0.3">
      <c r="A99" s="324">
        <v>45786</v>
      </c>
      <c r="B99" s="187">
        <v>5129611</v>
      </c>
      <c r="C99" s="187"/>
      <c r="D99" s="188" t="s">
        <v>796</v>
      </c>
      <c r="E99" s="189"/>
      <c r="F99" s="189">
        <v>1050000</v>
      </c>
      <c r="G99" s="189">
        <f t="shared" ref="G99:G117" si="4">SUM(G98+E99-F99)</f>
        <v>152100460</v>
      </c>
    </row>
    <row r="100" spans="1:7" x14ac:dyDescent="0.3">
      <c r="A100" s="324">
        <v>45877</v>
      </c>
      <c r="B100" s="187">
        <v>4788264</v>
      </c>
      <c r="C100" s="187"/>
      <c r="D100" s="188" t="s">
        <v>798</v>
      </c>
      <c r="E100" s="189"/>
      <c r="F100" s="189">
        <v>208800</v>
      </c>
      <c r="G100" s="189">
        <f t="shared" si="4"/>
        <v>151891660</v>
      </c>
    </row>
    <row r="101" spans="1:7" x14ac:dyDescent="0.3">
      <c r="A101" s="324">
        <v>45789</v>
      </c>
      <c r="B101" s="187" t="s">
        <v>800</v>
      </c>
      <c r="C101" s="187"/>
      <c r="D101" s="188" t="s">
        <v>799</v>
      </c>
      <c r="E101" s="189"/>
      <c r="F101" s="189">
        <v>6055000</v>
      </c>
      <c r="G101" s="189">
        <f t="shared" si="4"/>
        <v>145836660</v>
      </c>
    </row>
    <row r="102" spans="1:7" x14ac:dyDescent="0.3">
      <c r="A102" s="324">
        <v>45786</v>
      </c>
      <c r="B102" s="187">
        <v>5129615</v>
      </c>
      <c r="C102" s="187"/>
      <c r="D102" s="188" t="s">
        <v>802</v>
      </c>
      <c r="E102" s="189"/>
      <c r="F102" s="189">
        <v>525000</v>
      </c>
      <c r="G102" s="189">
        <f t="shared" si="4"/>
        <v>145311660</v>
      </c>
    </row>
    <row r="103" spans="1:7" x14ac:dyDescent="0.3">
      <c r="A103" s="324">
        <v>45786</v>
      </c>
      <c r="B103" s="187">
        <v>5129613</v>
      </c>
      <c r="C103" s="187"/>
      <c r="D103" s="188" t="s">
        <v>804</v>
      </c>
      <c r="E103" s="189"/>
      <c r="F103" s="189">
        <v>750000</v>
      </c>
      <c r="G103" s="189">
        <f t="shared" si="4"/>
        <v>144561660</v>
      </c>
    </row>
    <row r="104" spans="1:7" x14ac:dyDescent="0.3">
      <c r="A104" s="324">
        <v>45786</v>
      </c>
      <c r="B104" s="187">
        <v>5129614</v>
      </c>
      <c r="C104" s="187"/>
      <c r="D104" s="188" t="s">
        <v>806</v>
      </c>
      <c r="E104" s="189"/>
      <c r="F104" s="189">
        <v>275000</v>
      </c>
      <c r="G104" s="189">
        <f t="shared" si="4"/>
        <v>144286660</v>
      </c>
    </row>
    <row r="105" spans="1:7" x14ac:dyDescent="0.3">
      <c r="A105" s="324">
        <v>45719</v>
      </c>
      <c r="B105" s="187">
        <v>5129585</v>
      </c>
      <c r="C105" s="187"/>
      <c r="D105" s="188" t="s">
        <v>808</v>
      </c>
      <c r="E105" s="189"/>
      <c r="F105" s="189">
        <v>1305000</v>
      </c>
      <c r="G105" s="189">
        <f t="shared" si="4"/>
        <v>142981660</v>
      </c>
    </row>
    <row r="106" spans="1:7" ht="28.2" x14ac:dyDescent="0.3">
      <c r="A106" s="324">
        <v>45721</v>
      </c>
      <c r="B106" s="187">
        <v>5129588</v>
      </c>
      <c r="C106" s="187"/>
      <c r="D106" s="188" t="s">
        <v>810</v>
      </c>
      <c r="E106" s="189"/>
      <c r="F106" s="189">
        <v>147000</v>
      </c>
      <c r="G106" s="189">
        <f t="shared" si="4"/>
        <v>142834660</v>
      </c>
    </row>
    <row r="107" spans="1:7" ht="28.2" x14ac:dyDescent="0.3">
      <c r="A107" s="324">
        <v>45790</v>
      </c>
      <c r="B107" s="187">
        <v>5129617</v>
      </c>
      <c r="C107" s="187"/>
      <c r="D107" s="188" t="s">
        <v>812</v>
      </c>
      <c r="E107" s="189"/>
      <c r="F107" s="189">
        <v>6138000</v>
      </c>
      <c r="G107" s="189">
        <f t="shared" si="4"/>
        <v>136696660</v>
      </c>
    </row>
    <row r="108" spans="1:7" x14ac:dyDescent="0.3">
      <c r="A108" s="324">
        <v>45791</v>
      </c>
      <c r="B108" s="187" t="s">
        <v>1021</v>
      </c>
      <c r="C108" s="187"/>
      <c r="D108" s="188" t="s">
        <v>1022</v>
      </c>
      <c r="E108" s="189">
        <v>454213</v>
      </c>
      <c r="F108" s="189"/>
      <c r="G108" s="189">
        <f t="shared" si="4"/>
        <v>137150873</v>
      </c>
    </row>
    <row r="109" spans="1:7" ht="28.2" x14ac:dyDescent="0.3">
      <c r="A109" s="324">
        <v>45796</v>
      </c>
      <c r="B109" s="187">
        <v>5129618</v>
      </c>
      <c r="C109" s="187"/>
      <c r="D109" s="188" t="s">
        <v>814</v>
      </c>
      <c r="E109" s="189"/>
      <c r="F109" s="189">
        <v>4888000</v>
      </c>
      <c r="G109" s="189">
        <f t="shared" si="4"/>
        <v>132262873</v>
      </c>
    </row>
    <row r="110" spans="1:7" ht="28.2" x14ac:dyDescent="0.3">
      <c r="A110" s="324">
        <v>45790</v>
      </c>
      <c r="B110" s="187">
        <v>5129616</v>
      </c>
      <c r="C110" s="187"/>
      <c r="D110" s="188" t="s">
        <v>816</v>
      </c>
      <c r="E110" s="189"/>
      <c r="F110" s="189">
        <v>420000</v>
      </c>
      <c r="G110" s="189">
        <f t="shared" si="4"/>
        <v>131842873</v>
      </c>
    </row>
    <row r="111" spans="1:7" ht="42" x14ac:dyDescent="0.3">
      <c r="A111" s="324">
        <v>45786</v>
      </c>
      <c r="B111" s="187">
        <v>5129612</v>
      </c>
      <c r="C111" s="187"/>
      <c r="D111" s="188" t="s">
        <v>818</v>
      </c>
      <c r="E111" s="189"/>
      <c r="F111" s="189">
        <v>1050000</v>
      </c>
      <c r="G111" s="189">
        <f t="shared" si="4"/>
        <v>130792873</v>
      </c>
    </row>
    <row r="112" spans="1:7" ht="28.2" x14ac:dyDescent="0.3">
      <c r="A112" s="324">
        <v>45796</v>
      </c>
      <c r="B112" s="187">
        <v>5129620</v>
      </c>
      <c r="C112" s="187"/>
      <c r="D112" s="188" t="s">
        <v>820</v>
      </c>
      <c r="E112" s="189"/>
      <c r="F112" s="189">
        <v>3773000</v>
      </c>
      <c r="G112" s="189">
        <f t="shared" si="4"/>
        <v>127019873</v>
      </c>
    </row>
    <row r="113" spans="1:7" ht="28.2" x14ac:dyDescent="0.3">
      <c r="A113" s="324">
        <v>45800</v>
      </c>
      <c r="B113" s="187" t="s">
        <v>800</v>
      </c>
      <c r="C113" s="187"/>
      <c r="D113" s="188" t="s">
        <v>821</v>
      </c>
      <c r="E113" s="189"/>
      <c r="F113" s="189">
        <v>1119000</v>
      </c>
      <c r="G113" s="189">
        <f t="shared" si="4"/>
        <v>125900873</v>
      </c>
    </row>
    <row r="114" spans="1:7" ht="28.2" x14ac:dyDescent="0.3">
      <c r="A114" s="324">
        <v>45800</v>
      </c>
      <c r="B114" s="187" t="s">
        <v>800</v>
      </c>
      <c r="C114" s="187"/>
      <c r="D114" s="188" t="s">
        <v>822</v>
      </c>
      <c r="E114" s="189"/>
      <c r="F114" s="189">
        <v>1100000</v>
      </c>
      <c r="G114" s="189">
        <f t="shared" si="4"/>
        <v>124800873</v>
      </c>
    </row>
    <row r="115" spans="1:7" ht="28.2" x14ac:dyDescent="0.3">
      <c r="A115" s="324">
        <v>45796</v>
      </c>
      <c r="B115" s="187">
        <v>5129619</v>
      </c>
      <c r="C115" s="187"/>
      <c r="D115" s="188" t="s">
        <v>824</v>
      </c>
      <c r="E115" s="189"/>
      <c r="F115" s="189">
        <v>1200000</v>
      </c>
      <c r="G115" s="189">
        <f t="shared" si="4"/>
        <v>123600873</v>
      </c>
    </row>
    <row r="116" spans="1:7" ht="28.2" x14ac:dyDescent="0.3">
      <c r="A116" s="324">
        <v>45807</v>
      </c>
      <c r="B116" s="187" t="s">
        <v>800</v>
      </c>
      <c r="C116" s="187"/>
      <c r="D116" s="188" t="s">
        <v>826</v>
      </c>
      <c r="E116" s="189"/>
      <c r="F116" s="189">
        <v>7590045</v>
      </c>
      <c r="G116" s="189">
        <f t="shared" si="4"/>
        <v>116010828</v>
      </c>
    </row>
    <row r="117" spans="1:7" x14ac:dyDescent="0.3">
      <c r="A117" s="305"/>
      <c r="B117" s="187"/>
      <c r="C117" s="187"/>
      <c r="D117" s="188"/>
      <c r="E117" s="189"/>
      <c r="F117" s="189"/>
      <c r="G117" s="189">
        <f t="shared" si="4"/>
        <v>116010828</v>
      </c>
    </row>
    <row r="118" spans="1:7" ht="15.6" x14ac:dyDescent="0.3">
      <c r="A118" s="351" t="s">
        <v>828</v>
      </c>
      <c r="B118" s="352"/>
      <c r="C118" s="352"/>
      <c r="D118" s="353"/>
      <c r="E118" s="30">
        <f>SUM(E97:E117)</f>
        <v>154534673</v>
      </c>
      <c r="F118" s="30">
        <f>SUM(F97:F117)</f>
        <v>38523845</v>
      </c>
      <c r="G118" s="29">
        <f>G117</f>
        <v>116010828</v>
      </c>
    </row>
    <row r="120" spans="1:7" ht="15.6" x14ac:dyDescent="0.3">
      <c r="A120" s="349">
        <v>45444</v>
      </c>
      <c r="B120" s="350"/>
      <c r="C120" s="350"/>
      <c r="D120" s="350"/>
      <c r="E120" s="350"/>
      <c r="F120" s="350"/>
      <c r="G120" s="350"/>
    </row>
    <row r="121" spans="1:7" ht="15.6" x14ac:dyDescent="0.3">
      <c r="A121" s="14" t="s">
        <v>0</v>
      </c>
      <c r="B121" s="15" t="s">
        <v>5</v>
      </c>
      <c r="C121" s="15"/>
      <c r="D121" s="16" t="s">
        <v>1</v>
      </c>
      <c r="E121" s="190" t="s">
        <v>2</v>
      </c>
      <c r="F121" s="181" t="s">
        <v>3</v>
      </c>
      <c r="G121" s="17" t="s">
        <v>4</v>
      </c>
    </row>
    <row r="122" spans="1:7" x14ac:dyDescent="0.3">
      <c r="A122" s="198">
        <v>45809</v>
      </c>
      <c r="B122" s="205" t="s">
        <v>208</v>
      </c>
      <c r="C122" s="205"/>
      <c r="D122" s="325" t="s">
        <v>925</v>
      </c>
      <c r="E122" s="201">
        <f>G118</f>
        <v>116010828</v>
      </c>
      <c r="F122" s="201"/>
      <c r="G122" s="201">
        <f>E122-F122</f>
        <v>116010828</v>
      </c>
    </row>
    <row r="123" spans="1:7" x14ac:dyDescent="0.3">
      <c r="A123" s="324">
        <v>45807</v>
      </c>
      <c r="B123" s="326" t="s">
        <v>831</v>
      </c>
      <c r="C123" s="327"/>
      <c r="D123" s="328" t="s">
        <v>830</v>
      </c>
      <c r="E123" s="329"/>
      <c r="F123" s="329">
        <v>1000000</v>
      </c>
      <c r="G123" s="329">
        <f>G122+E123-F123</f>
        <v>115010828</v>
      </c>
    </row>
    <row r="124" spans="1:7" x14ac:dyDescent="0.3">
      <c r="A124" s="324">
        <v>45807</v>
      </c>
      <c r="B124" s="326" t="s">
        <v>831</v>
      </c>
      <c r="C124" s="327"/>
      <c r="D124" s="328" t="s">
        <v>830</v>
      </c>
      <c r="E124" s="329"/>
      <c r="F124" s="329">
        <v>1500000</v>
      </c>
      <c r="G124" s="329">
        <f t="shared" ref="G124:G139" si="5">G123+E124-F124</f>
        <v>113510828</v>
      </c>
    </row>
    <row r="125" spans="1:7" x14ac:dyDescent="0.3">
      <c r="A125" s="324">
        <v>45807</v>
      </c>
      <c r="B125" s="326" t="s">
        <v>834</v>
      </c>
      <c r="C125" s="327"/>
      <c r="D125" s="328" t="s">
        <v>833</v>
      </c>
      <c r="E125" s="329"/>
      <c r="F125" s="329">
        <v>6464743</v>
      </c>
      <c r="G125" s="329">
        <f t="shared" si="5"/>
        <v>107046085</v>
      </c>
    </row>
    <row r="126" spans="1:7" x14ac:dyDescent="0.3">
      <c r="A126" s="324">
        <v>45813</v>
      </c>
      <c r="B126" s="326" t="s">
        <v>1023</v>
      </c>
      <c r="C126" s="327"/>
      <c r="D126" s="328" t="s">
        <v>1022</v>
      </c>
      <c r="E126" s="329">
        <v>469309</v>
      </c>
      <c r="F126" s="329"/>
      <c r="G126" s="329">
        <f>G125+E126-F126</f>
        <v>107515394</v>
      </c>
    </row>
    <row r="127" spans="1:7" ht="28.2" x14ac:dyDescent="0.3">
      <c r="A127" s="324">
        <v>45826</v>
      </c>
      <c r="B127" s="326">
        <v>5345658</v>
      </c>
      <c r="C127" s="327"/>
      <c r="D127" s="328" t="s">
        <v>836</v>
      </c>
      <c r="E127" s="329"/>
      <c r="F127" s="329">
        <v>1200000</v>
      </c>
      <c r="G127" s="329">
        <f t="shared" si="5"/>
        <v>106315394</v>
      </c>
    </row>
    <row r="128" spans="1:7" ht="28.2" x14ac:dyDescent="0.3">
      <c r="A128" s="324">
        <v>45826</v>
      </c>
      <c r="B128" s="326">
        <v>5345650</v>
      </c>
      <c r="C128" s="327"/>
      <c r="D128" s="328" t="s">
        <v>837</v>
      </c>
      <c r="E128" s="329"/>
      <c r="F128" s="329">
        <v>577500</v>
      </c>
      <c r="G128" s="329">
        <f t="shared" si="5"/>
        <v>105737894</v>
      </c>
    </row>
    <row r="129" spans="1:7" ht="28.2" x14ac:dyDescent="0.3">
      <c r="A129" s="324">
        <v>45826</v>
      </c>
      <c r="B129" s="326">
        <v>5345647</v>
      </c>
      <c r="C129" s="327"/>
      <c r="D129" s="328" t="s">
        <v>838</v>
      </c>
      <c r="E129" s="329"/>
      <c r="F129" s="329">
        <v>645000</v>
      </c>
      <c r="G129" s="329">
        <f t="shared" si="5"/>
        <v>105092894</v>
      </c>
    </row>
    <row r="130" spans="1:7" x14ac:dyDescent="0.3">
      <c r="A130" s="324">
        <v>45827</v>
      </c>
      <c r="B130" s="326" t="s">
        <v>831</v>
      </c>
      <c r="C130" s="327"/>
      <c r="D130" s="328" t="s">
        <v>840</v>
      </c>
      <c r="E130" s="329"/>
      <c r="F130" s="329">
        <v>643000</v>
      </c>
      <c r="G130" s="329">
        <f t="shared" si="5"/>
        <v>104449894</v>
      </c>
    </row>
    <row r="131" spans="1:7" x14ac:dyDescent="0.3">
      <c r="A131" s="324">
        <v>45826</v>
      </c>
      <c r="B131" s="326">
        <v>5345648</v>
      </c>
      <c r="C131" s="327"/>
      <c r="D131" s="328" t="s">
        <v>842</v>
      </c>
      <c r="E131" s="329"/>
      <c r="F131" s="329">
        <v>10500000</v>
      </c>
      <c r="G131" s="329">
        <f t="shared" si="5"/>
        <v>93949894</v>
      </c>
    </row>
    <row r="132" spans="1:7" x14ac:dyDescent="0.3">
      <c r="A132" s="324">
        <v>45826</v>
      </c>
      <c r="B132" s="326">
        <v>5345646</v>
      </c>
      <c r="C132" s="327"/>
      <c r="D132" s="328" t="s">
        <v>843</v>
      </c>
      <c r="E132" s="329"/>
      <c r="F132" s="329">
        <v>12650000</v>
      </c>
      <c r="G132" s="329">
        <f t="shared" si="5"/>
        <v>81299894</v>
      </c>
    </row>
    <row r="133" spans="1:7" x14ac:dyDescent="0.3">
      <c r="A133" s="324">
        <v>45826</v>
      </c>
      <c r="B133" s="326">
        <v>5345651</v>
      </c>
      <c r="C133" s="327"/>
      <c r="D133" s="328" t="s">
        <v>845</v>
      </c>
      <c r="E133" s="329"/>
      <c r="F133" s="329">
        <v>3457000</v>
      </c>
      <c r="G133" s="329">
        <f t="shared" si="5"/>
        <v>77842894</v>
      </c>
    </row>
    <row r="134" spans="1:7" ht="28.2" x14ac:dyDescent="0.3">
      <c r="A134" s="324">
        <v>45826</v>
      </c>
      <c r="B134" s="326">
        <v>5345657</v>
      </c>
      <c r="C134" s="327"/>
      <c r="D134" s="328" t="s">
        <v>846</v>
      </c>
      <c r="E134" s="329"/>
      <c r="F134" s="329">
        <v>2650800</v>
      </c>
      <c r="G134" s="329">
        <f t="shared" si="5"/>
        <v>75192094</v>
      </c>
    </row>
    <row r="135" spans="1:7" x14ac:dyDescent="0.3">
      <c r="A135" s="324">
        <v>45721</v>
      </c>
      <c r="B135" s="326">
        <v>5129589</v>
      </c>
      <c r="C135" s="327"/>
      <c r="D135" s="328" t="s">
        <v>848</v>
      </c>
      <c r="E135" s="329"/>
      <c r="F135" s="329">
        <v>130000</v>
      </c>
      <c r="G135" s="329">
        <f t="shared" si="5"/>
        <v>75062094</v>
      </c>
    </row>
    <row r="136" spans="1:7" x14ac:dyDescent="0.3">
      <c r="A136" s="324">
        <v>45826</v>
      </c>
      <c r="B136" s="326">
        <v>5345656</v>
      </c>
      <c r="C136" s="327"/>
      <c r="D136" s="328" t="s">
        <v>850</v>
      </c>
      <c r="E136" s="329"/>
      <c r="F136" s="329">
        <v>4300000</v>
      </c>
      <c r="G136" s="329">
        <f t="shared" si="5"/>
        <v>70762094</v>
      </c>
    </row>
    <row r="137" spans="1:7" ht="28.2" x14ac:dyDescent="0.3">
      <c r="A137" s="324">
        <v>45835</v>
      </c>
      <c r="B137" s="326">
        <v>5345659</v>
      </c>
      <c r="C137" s="327"/>
      <c r="D137" s="328" t="s">
        <v>852</v>
      </c>
      <c r="E137" s="329"/>
      <c r="F137" s="329">
        <v>447500</v>
      </c>
      <c r="G137" s="329">
        <f t="shared" si="5"/>
        <v>70314594</v>
      </c>
    </row>
    <row r="138" spans="1:7" x14ac:dyDescent="0.3">
      <c r="A138" s="324">
        <v>45826</v>
      </c>
      <c r="B138" s="326">
        <v>5345655</v>
      </c>
      <c r="C138" s="327"/>
      <c r="D138" s="328" t="s">
        <v>850</v>
      </c>
      <c r="E138" s="329"/>
      <c r="F138" s="329">
        <v>3420000</v>
      </c>
      <c r="G138" s="329">
        <f t="shared" si="5"/>
        <v>66894594</v>
      </c>
    </row>
    <row r="139" spans="1:7" x14ac:dyDescent="0.3">
      <c r="A139" s="330"/>
      <c r="B139" s="327"/>
      <c r="C139" s="327"/>
      <c r="D139" s="328"/>
      <c r="E139" s="329"/>
      <c r="F139" s="329"/>
      <c r="G139" s="329">
        <f t="shared" si="5"/>
        <v>66894594</v>
      </c>
    </row>
    <row r="140" spans="1:7" ht="15.6" x14ac:dyDescent="0.3">
      <c r="A140" s="351" t="s">
        <v>1017</v>
      </c>
      <c r="B140" s="352"/>
      <c r="C140" s="352"/>
      <c r="D140" s="353"/>
      <c r="E140" s="30">
        <f>SUM(E119:E139)</f>
        <v>116480137</v>
      </c>
      <c r="F140" s="30">
        <f>SUM(F122:F139)</f>
        <v>49585543</v>
      </c>
      <c r="G140" s="29">
        <f>G139</f>
        <v>66894594</v>
      </c>
    </row>
    <row r="142" spans="1:7" ht="15.6" x14ac:dyDescent="0.3">
      <c r="A142" s="349">
        <v>45474</v>
      </c>
      <c r="B142" s="349"/>
      <c r="C142" s="349"/>
      <c r="D142" s="349"/>
      <c r="E142" s="349"/>
      <c r="F142" s="349"/>
      <c r="G142" s="349"/>
    </row>
    <row r="143" spans="1:7" ht="15.6" x14ac:dyDescent="0.3">
      <c r="A143" s="14" t="s">
        <v>0</v>
      </c>
      <c r="B143" s="15" t="s">
        <v>5</v>
      </c>
      <c r="C143" s="15"/>
      <c r="D143" s="16" t="s">
        <v>1</v>
      </c>
      <c r="E143" s="190" t="s">
        <v>2</v>
      </c>
      <c r="F143" s="181" t="s">
        <v>3</v>
      </c>
      <c r="G143" s="17" t="s">
        <v>4</v>
      </c>
    </row>
    <row r="144" spans="1:7" x14ac:dyDescent="0.3">
      <c r="A144" s="186"/>
      <c r="B144" s="187"/>
      <c r="C144" s="187"/>
      <c r="D144" s="188"/>
      <c r="E144" s="189">
        <f>G140</f>
        <v>66894594</v>
      </c>
      <c r="F144" s="189"/>
      <c r="G144" s="189">
        <f>E144-F144</f>
        <v>66894594</v>
      </c>
    </row>
    <row r="145" spans="1:7" x14ac:dyDescent="0.3">
      <c r="A145" s="186">
        <v>45818</v>
      </c>
      <c r="B145" s="187">
        <v>5345654</v>
      </c>
      <c r="C145" s="187"/>
      <c r="D145" s="188" t="s">
        <v>860</v>
      </c>
      <c r="E145" s="189"/>
      <c r="F145" s="189">
        <v>1500000</v>
      </c>
      <c r="G145" s="189">
        <f>G144+E145-F145</f>
        <v>65394594</v>
      </c>
    </row>
    <row r="146" spans="1:7" x14ac:dyDescent="0.3">
      <c r="A146" s="186">
        <v>45848</v>
      </c>
      <c r="B146" s="187" t="s">
        <v>1024</v>
      </c>
      <c r="C146" s="187"/>
      <c r="D146" s="188" t="s">
        <v>1022</v>
      </c>
      <c r="E146" s="189">
        <v>46830</v>
      </c>
      <c r="F146" s="189"/>
      <c r="G146" s="189">
        <f>G145+E146-F146</f>
        <v>65441424</v>
      </c>
    </row>
    <row r="147" spans="1:7" x14ac:dyDescent="0.3">
      <c r="A147" s="186">
        <v>45804</v>
      </c>
      <c r="B147" s="187">
        <v>5345661</v>
      </c>
      <c r="C147" s="187"/>
      <c r="D147" s="188" t="s">
        <v>860</v>
      </c>
      <c r="E147" s="189"/>
      <c r="F147" s="189">
        <v>676500</v>
      </c>
      <c r="G147" s="189">
        <f>G146+E147-F147</f>
        <v>64764924</v>
      </c>
    </row>
    <row r="148" spans="1:7" x14ac:dyDescent="0.3">
      <c r="A148" s="186">
        <v>45826</v>
      </c>
      <c r="B148" s="187">
        <v>5345652</v>
      </c>
      <c r="C148" s="187"/>
      <c r="D148" s="188" t="s">
        <v>863</v>
      </c>
      <c r="E148" s="189"/>
      <c r="F148" s="189">
        <v>3937000</v>
      </c>
      <c r="G148" s="189">
        <f t="shared" ref="G148:G162" si="6">G147+E148-F148</f>
        <v>60827924</v>
      </c>
    </row>
    <row r="149" spans="1:7" x14ac:dyDescent="0.3">
      <c r="A149" s="186">
        <v>45826</v>
      </c>
      <c r="B149" s="187">
        <v>5345660</v>
      </c>
      <c r="C149" s="187"/>
      <c r="D149" s="188" t="s">
        <v>865</v>
      </c>
      <c r="E149" s="189"/>
      <c r="F149" s="189">
        <v>50000</v>
      </c>
      <c r="G149" s="189">
        <f t="shared" si="6"/>
        <v>60777924</v>
      </c>
    </row>
    <row r="150" spans="1:7" ht="28.2" x14ac:dyDescent="0.3">
      <c r="A150" s="186">
        <v>45852</v>
      </c>
      <c r="B150" s="187">
        <v>5345668</v>
      </c>
      <c r="C150" s="187"/>
      <c r="D150" s="188" t="s">
        <v>867</v>
      </c>
      <c r="E150" s="189"/>
      <c r="F150" s="189">
        <v>635000</v>
      </c>
      <c r="G150" s="189">
        <f t="shared" si="6"/>
        <v>60142924</v>
      </c>
    </row>
    <row r="151" spans="1:7" x14ac:dyDescent="0.3">
      <c r="A151" s="186">
        <v>45835</v>
      </c>
      <c r="B151" s="187">
        <v>5345665</v>
      </c>
      <c r="C151" s="187"/>
      <c r="D151" s="188" t="s">
        <v>869</v>
      </c>
      <c r="E151" s="189"/>
      <c r="F151" s="189">
        <v>125000</v>
      </c>
      <c r="G151" s="189">
        <f t="shared" si="6"/>
        <v>60017924</v>
      </c>
    </row>
    <row r="152" spans="1:7" ht="28.2" x14ac:dyDescent="0.3">
      <c r="A152" s="186">
        <v>45804</v>
      </c>
      <c r="B152" s="187">
        <v>5345662</v>
      </c>
      <c r="C152" s="187"/>
      <c r="D152" s="188" t="s">
        <v>871</v>
      </c>
      <c r="E152" s="189"/>
      <c r="F152" s="189">
        <v>744250</v>
      </c>
      <c r="G152" s="189">
        <f t="shared" si="6"/>
        <v>59273674</v>
      </c>
    </row>
    <row r="153" spans="1:7" x14ac:dyDescent="0.3">
      <c r="A153" s="186">
        <v>45826</v>
      </c>
      <c r="B153" s="187">
        <v>5345649</v>
      </c>
      <c r="C153" s="187"/>
      <c r="D153" s="188" t="s">
        <v>872</v>
      </c>
      <c r="E153" s="189"/>
      <c r="F153" s="189">
        <v>75000</v>
      </c>
      <c r="G153" s="189">
        <f t="shared" si="6"/>
        <v>59198674</v>
      </c>
    </row>
    <row r="154" spans="1:7" ht="28.2" x14ac:dyDescent="0.3">
      <c r="A154" s="186">
        <v>45804</v>
      </c>
      <c r="B154" s="187">
        <v>5345664</v>
      </c>
      <c r="C154" s="187"/>
      <c r="D154" s="188" t="s">
        <v>874</v>
      </c>
      <c r="E154" s="189"/>
      <c r="F154" s="189">
        <v>963000</v>
      </c>
      <c r="G154" s="189">
        <f t="shared" si="6"/>
        <v>58235674</v>
      </c>
    </row>
    <row r="155" spans="1:7" ht="42" x14ac:dyDescent="0.3">
      <c r="A155" s="186">
        <v>45852</v>
      </c>
      <c r="B155" s="187">
        <v>5345669</v>
      </c>
      <c r="C155" s="187"/>
      <c r="D155" s="188" t="s">
        <v>876</v>
      </c>
      <c r="E155" s="189"/>
      <c r="F155" s="189">
        <v>1865640</v>
      </c>
      <c r="G155" s="189">
        <f t="shared" si="6"/>
        <v>56370034</v>
      </c>
    </row>
    <row r="156" spans="1:7" ht="28.2" x14ac:dyDescent="0.3">
      <c r="A156" s="186">
        <v>45856</v>
      </c>
      <c r="B156" s="187">
        <v>5345671</v>
      </c>
      <c r="C156" s="187"/>
      <c r="D156" s="188" t="s">
        <v>878</v>
      </c>
      <c r="E156" s="189"/>
      <c r="F156" s="189">
        <v>4153000</v>
      </c>
      <c r="G156" s="189">
        <f t="shared" si="6"/>
        <v>52217034</v>
      </c>
    </row>
    <row r="157" spans="1:7" ht="42" x14ac:dyDescent="0.3">
      <c r="A157" s="186">
        <v>45835</v>
      </c>
      <c r="B157" s="187">
        <v>5345663</v>
      </c>
      <c r="C157" s="187"/>
      <c r="D157" s="188" t="s">
        <v>880</v>
      </c>
      <c r="E157" s="189"/>
      <c r="F157" s="189">
        <v>1100000</v>
      </c>
      <c r="G157" s="189">
        <f t="shared" si="6"/>
        <v>51117034</v>
      </c>
    </row>
    <row r="158" spans="1:7" x14ac:dyDescent="0.3">
      <c r="A158" s="186">
        <v>45863</v>
      </c>
      <c r="B158" s="187">
        <v>5345673</v>
      </c>
      <c r="C158" s="187"/>
      <c r="D158" s="188" t="s">
        <v>881</v>
      </c>
      <c r="E158" s="189"/>
      <c r="F158" s="189">
        <v>730000</v>
      </c>
      <c r="G158" s="189">
        <f t="shared" si="6"/>
        <v>50387034</v>
      </c>
    </row>
    <row r="159" spans="1:7" ht="28.2" x14ac:dyDescent="0.3">
      <c r="A159" s="186">
        <v>45863</v>
      </c>
      <c r="B159" s="187">
        <v>5345674</v>
      </c>
      <c r="C159" s="187"/>
      <c r="D159" s="188" t="s">
        <v>882</v>
      </c>
      <c r="E159" s="189"/>
      <c r="F159" s="189">
        <v>5533750</v>
      </c>
      <c r="G159" s="189">
        <f t="shared" si="6"/>
        <v>44853284</v>
      </c>
    </row>
    <row r="160" spans="1:7" ht="28.2" x14ac:dyDescent="0.3">
      <c r="A160" s="186">
        <v>45855</v>
      </c>
      <c r="B160" s="187">
        <v>5345675</v>
      </c>
      <c r="C160" s="187"/>
      <c r="D160" s="188" t="s">
        <v>884</v>
      </c>
      <c r="E160" s="189"/>
      <c r="F160" s="189">
        <v>1050000</v>
      </c>
      <c r="G160" s="189">
        <f t="shared" si="6"/>
        <v>43803284</v>
      </c>
    </row>
    <row r="161" spans="1:7" ht="42" x14ac:dyDescent="0.3">
      <c r="A161" s="186">
        <v>45866</v>
      </c>
      <c r="B161" s="187">
        <v>5345675</v>
      </c>
      <c r="C161" s="187"/>
      <c r="D161" s="188" t="s">
        <v>885</v>
      </c>
      <c r="E161" s="189"/>
      <c r="F161" s="189">
        <v>1550000</v>
      </c>
      <c r="G161" s="189">
        <f t="shared" si="6"/>
        <v>42253284</v>
      </c>
    </row>
    <row r="162" spans="1:7" x14ac:dyDescent="0.3">
      <c r="A162" s="198"/>
      <c r="B162" s="205"/>
      <c r="C162" s="205"/>
      <c r="D162" s="226"/>
      <c r="E162" s="201"/>
      <c r="F162" s="201"/>
      <c r="G162" s="189">
        <f t="shared" si="6"/>
        <v>42253284</v>
      </c>
    </row>
    <row r="163" spans="1:7" ht="15.6" x14ac:dyDescent="0.3">
      <c r="A163" s="351" t="s">
        <v>1018</v>
      </c>
      <c r="B163" s="352"/>
      <c r="C163" s="352"/>
      <c r="D163" s="353"/>
      <c r="E163" s="30">
        <f>SUM(E144:E162)</f>
        <v>66941424</v>
      </c>
      <c r="F163" s="30">
        <f>SUM(F144:F162)</f>
        <v>24688140</v>
      </c>
      <c r="G163" s="29">
        <f>G162</f>
        <v>42253284</v>
      </c>
    </row>
    <row r="166" spans="1:7" ht="15.6" x14ac:dyDescent="0.3">
      <c r="A166" s="349">
        <v>45505</v>
      </c>
      <c r="B166" s="350"/>
      <c r="C166" s="350"/>
      <c r="D166" s="350"/>
      <c r="E166" s="350"/>
      <c r="F166" s="350"/>
      <c r="G166" s="350"/>
    </row>
    <row r="167" spans="1:7" ht="15.6" x14ac:dyDescent="0.3">
      <c r="A167" s="14" t="s">
        <v>0</v>
      </c>
      <c r="B167" s="15" t="s">
        <v>5</v>
      </c>
      <c r="C167" s="15"/>
      <c r="D167" s="16" t="s">
        <v>1</v>
      </c>
      <c r="E167" s="190" t="s">
        <v>2</v>
      </c>
      <c r="F167" s="181" t="s">
        <v>3</v>
      </c>
      <c r="G167" s="17" t="s">
        <v>4</v>
      </c>
    </row>
    <row r="168" spans="1:7" x14ac:dyDescent="0.3">
      <c r="A168" s="331"/>
      <c r="B168" s="332"/>
      <c r="C168" s="332"/>
      <c r="D168" s="333"/>
      <c r="E168" s="329">
        <f>G163</f>
        <v>42253284</v>
      </c>
      <c r="F168" s="334"/>
      <c r="G168" s="336">
        <f>E168-F168</f>
        <v>42253284</v>
      </c>
    </row>
    <row r="169" spans="1:7" ht="28.2" x14ac:dyDescent="0.3">
      <c r="A169" s="324">
        <v>45848</v>
      </c>
      <c r="B169" s="327" t="s">
        <v>901</v>
      </c>
      <c r="C169" s="327"/>
      <c r="D169" s="328" t="s">
        <v>887</v>
      </c>
      <c r="E169" s="329"/>
      <c r="F169" s="335">
        <v>366000</v>
      </c>
      <c r="G169" s="329">
        <f>G168+E169-F169</f>
        <v>41887284</v>
      </c>
    </row>
    <row r="170" spans="1:7" ht="28.2" x14ac:dyDescent="0.3">
      <c r="A170" s="324">
        <v>45873</v>
      </c>
      <c r="B170" s="327" t="s">
        <v>902</v>
      </c>
      <c r="C170" s="327"/>
      <c r="D170" s="328" t="s">
        <v>888</v>
      </c>
      <c r="E170" s="329"/>
      <c r="F170" s="335">
        <v>710000</v>
      </c>
      <c r="G170" s="329">
        <f t="shared" ref="G170:G185" si="7">G169+E170-F170</f>
        <v>41177284</v>
      </c>
    </row>
    <row r="171" spans="1:7" x14ac:dyDescent="0.3">
      <c r="A171" s="324">
        <v>45873</v>
      </c>
      <c r="B171" s="327" t="s">
        <v>903</v>
      </c>
      <c r="C171" s="327"/>
      <c r="D171" s="328" t="s">
        <v>889</v>
      </c>
      <c r="E171" s="329"/>
      <c r="F171" s="335">
        <v>1642500</v>
      </c>
      <c r="G171" s="329">
        <f t="shared" si="7"/>
        <v>39534784</v>
      </c>
    </row>
    <row r="172" spans="1:7" x14ac:dyDescent="0.3">
      <c r="A172" s="324">
        <v>45873</v>
      </c>
      <c r="B172" s="327" t="s">
        <v>904</v>
      </c>
      <c r="C172" s="327"/>
      <c r="D172" s="328" t="s">
        <v>890</v>
      </c>
      <c r="E172" s="329"/>
      <c r="F172" s="335">
        <v>400000</v>
      </c>
      <c r="G172" s="329">
        <f t="shared" si="7"/>
        <v>39134784</v>
      </c>
    </row>
    <row r="173" spans="1:7" ht="28.2" x14ac:dyDescent="0.3">
      <c r="A173" s="324">
        <v>45875</v>
      </c>
      <c r="B173" s="327" t="s">
        <v>905</v>
      </c>
      <c r="C173" s="327"/>
      <c r="D173" s="328" t="s">
        <v>891</v>
      </c>
      <c r="E173" s="329"/>
      <c r="F173" s="335">
        <v>178000</v>
      </c>
      <c r="G173" s="329">
        <f t="shared" si="7"/>
        <v>38956784</v>
      </c>
    </row>
    <row r="174" spans="1:7" x14ac:dyDescent="0.3">
      <c r="A174" s="324">
        <v>45877</v>
      </c>
      <c r="B174" s="327" t="s">
        <v>1023</v>
      </c>
      <c r="C174" s="327"/>
      <c r="D174" s="328" t="s">
        <v>1025</v>
      </c>
      <c r="E174" s="329">
        <v>14739500</v>
      </c>
      <c r="F174" s="335"/>
      <c r="G174" s="329">
        <f t="shared" si="7"/>
        <v>53696284</v>
      </c>
    </row>
    <row r="175" spans="1:7" x14ac:dyDescent="0.3">
      <c r="A175" s="324">
        <v>45881</v>
      </c>
      <c r="B175" s="327" t="s">
        <v>906</v>
      </c>
      <c r="C175" s="327"/>
      <c r="D175" s="328" t="s">
        <v>892</v>
      </c>
      <c r="E175" s="329"/>
      <c r="F175" s="335">
        <v>1205000</v>
      </c>
      <c r="G175" s="329">
        <f t="shared" si="7"/>
        <v>52491284</v>
      </c>
    </row>
    <row r="176" spans="1:7" ht="28.2" x14ac:dyDescent="0.3">
      <c r="A176" s="324">
        <v>45881</v>
      </c>
      <c r="B176" s="327" t="s">
        <v>907</v>
      </c>
      <c r="C176" s="327"/>
      <c r="D176" s="328" t="s">
        <v>893</v>
      </c>
      <c r="E176" s="329"/>
      <c r="F176" s="335">
        <v>852000</v>
      </c>
      <c r="G176" s="329">
        <f t="shared" si="7"/>
        <v>51639284</v>
      </c>
    </row>
    <row r="177" spans="1:7" x14ac:dyDescent="0.3">
      <c r="A177" s="324">
        <v>45881</v>
      </c>
      <c r="B177" s="327" t="s">
        <v>908</v>
      </c>
      <c r="C177" s="327"/>
      <c r="D177" s="328" t="s">
        <v>860</v>
      </c>
      <c r="E177" s="329"/>
      <c r="F177" s="335">
        <v>1025000</v>
      </c>
      <c r="G177" s="329">
        <f t="shared" si="7"/>
        <v>50614284</v>
      </c>
    </row>
    <row r="178" spans="1:7" x14ac:dyDescent="0.3">
      <c r="A178" s="324">
        <v>45881</v>
      </c>
      <c r="B178" s="327" t="s">
        <v>909</v>
      </c>
      <c r="C178" s="327"/>
      <c r="D178" s="328" t="s">
        <v>894</v>
      </c>
      <c r="E178" s="329"/>
      <c r="F178" s="335">
        <v>6800000</v>
      </c>
      <c r="G178" s="329">
        <f t="shared" si="7"/>
        <v>43814284</v>
      </c>
    </row>
    <row r="179" spans="1:7" ht="28.2" x14ac:dyDescent="0.3">
      <c r="A179" s="324">
        <v>45884</v>
      </c>
      <c r="B179" s="327" t="s">
        <v>910</v>
      </c>
      <c r="C179" s="327"/>
      <c r="D179" s="328" t="s">
        <v>895</v>
      </c>
      <c r="E179" s="329"/>
      <c r="F179" s="335">
        <v>18227050</v>
      </c>
      <c r="G179" s="329">
        <f t="shared" si="7"/>
        <v>25587234</v>
      </c>
    </row>
    <row r="180" spans="1:7" x14ac:dyDescent="0.3">
      <c r="A180" s="324">
        <v>45889</v>
      </c>
      <c r="B180" s="327" t="s">
        <v>911</v>
      </c>
      <c r="C180" s="327"/>
      <c r="D180" s="328" t="s">
        <v>896</v>
      </c>
      <c r="E180" s="329"/>
      <c r="F180" s="335">
        <v>3933000</v>
      </c>
      <c r="G180" s="329">
        <f t="shared" si="7"/>
        <v>21654234</v>
      </c>
    </row>
    <row r="181" spans="1:7" x14ac:dyDescent="0.3">
      <c r="A181" s="324">
        <v>45889</v>
      </c>
      <c r="B181" s="327" t="s">
        <v>912</v>
      </c>
      <c r="C181" s="327"/>
      <c r="D181" s="328" t="s">
        <v>897</v>
      </c>
      <c r="E181" s="329"/>
      <c r="F181" s="335">
        <v>1000000</v>
      </c>
      <c r="G181" s="329">
        <f t="shared" si="7"/>
        <v>20654234</v>
      </c>
    </row>
    <row r="182" spans="1:7" ht="28.2" x14ac:dyDescent="0.3">
      <c r="A182" s="324">
        <v>45891</v>
      </c>
      <c r="B182" s="327" t="s">
        <v>913</v>
      </c>
      <c r="C182" s="327"/>
      <c r="D182" s="328" t="s">
        <v>898</v>
      </c>
      <c r="E182" s="329"/>
      <c r="F182" s="335">
        <v>2469300</v>
      </c>
      <c r="G182" s="329">
        <f t="shared" si="7"/>
        <v>18184934</v>
      </c>
    </row>
    <row r="183" spans="1:7" x14ac:dyDescent="0.3">
      <c r="A183" s="324">
        <v>45891</v>
      </c>
      <c r="B183" s="327" t="s">
        <v>914</v>
      </c>
      <c r="C183" s="327"/>
      <c r="D183" s="328" t="s">
        <v>899</v>
      </c>
      <c r="E183" s="329"/>
      <c r="F183" s="335">
        <v>344000</v>
      </c>
      <c r="G183" s="329">
        <f t="shared" si="7"/>
        <v>17840934</v>
      </c>
    </row>
    <row r="184" spans="1:7" x14ac:dyDescent="0.3">
      <c r="A184" s="324">
        <v>45889</v>
      </c>
      <c r="B184" s="327" t="s">
        <v>915</v>
      </c>
      <c r="C184" s="327"/>
      <c r="D184" s="328" t="s">
        <v>900</v>
      </c>
      <c r="E184" s="329"/>
      <c r="F184" s="335">
        <v>241500</v>
      </c>
      <c r="G184" s="329">
        <f t="shared" si="7"/>
        <v>17599434</v>
      </c>
    </row>
    <row r="185" spans="1:7" x14ac:dyDescent="0.3">
      <c r="A185" s="331"/>
      <c r="B185" s="327"/>
      <c r="C185" s="327"/>
      <c r="D185" s="328"/>
      <c r="E185" s="329"/>
      <c r="F185" s="329"/>
      <c r="G185" s="329">
        <f t="shared" si="7"/>
        <v>17599434</v>
      </c>
    </row>
    <row r="186" spans="1:7" ht="15.6" x14ac:dyDescent="0.3">
      <c r="A186" s="351" t="s">
        <v>1019</v>
      </c>
      <c r="B186" s="352"/>
      <c r="C186" s="352"/>
      <c r="D186" s="353"/>
      <c r="E186" s="30">
        <f>SUM(E167:E185)</f>
        <v>56992784</v>
      </c>
      <c r="F186" s="30">
        <f>SUM(F168:F185)</f>
        <v>39393350</v>
      </c>
      <c r="G186" s="29">
        <f>G185</f>
        <v>17599434</v>
      </c>
    </row>
    <row r="188" spans="1:7" ht="15.6" x14ac:dyDescent="0.3">
      <c r="A188" s="349">
        <v>45536</v>
      </c>
      <c r="B188" s="350"/>
      <c r="C188" s="350"/>
      <c r="D188" s="350"/>
      <c r="E188" s="350"/>
      <c r="F188" s="350"/>
      <c r="G188" s="350"/>
    </row>
    <row r="189" spans="1:7" ht="15.6" x14ac:dyDescent="0.3">
      <c r="A189" s="14" t="s">
        <v>0</v>
      </c>
      <c r="B189" s="15" t="s">
        <v>5</v>
      </c>
      <c r="C189" s="15"/>
      <c r="D189" s="16" t="s">
        <v>1</v>
      </c>
      <c r="E189" s="190" t="s">
        <v>2</v>
      </c>
      <c r="F189" s="181" t="s">
        <v>3</v>
      </c>
      <c r="G189" s="17" t="s">
        <v>4</v>
      </c>
    </row>
    <row r="190" spans="1:7" x14ac:dyDescent="0.3">
      <c r="A190" s="186"/>
      <c r="B190" s="187"/>
      <c r="C190" s="187"/>
      <c r="D190" s="188"/>
      <c r="E190" s="189">
        <f>G186</f>
        <v>17599434</v>
      </c>
      <c r="F190" s="189"/>
      <c r="G190" s="189">
        <f>E190-F190</f>
        <v>17599434</v>
      </c>
    </row>
    <row r="191" spans="1:7" ht="28.2" x14ac:dyDescent="0.3">
      <c r="A191" s="111">
        <v>45898</v>
      </c>
      <c r="B191" s="187">
        <v>5345692</v>
      </c>
      <c r="C191" s="187"/>
      <c r="D191" s="188" t="s">
        <v>927</v>
      </c>
      <c r="E191" s="189"/>
      <c r="F191" s="189">
        <v>2392200</v>
      </c>
      <c r="G191" s="189">
        <f>G190+E191-F191</f>
        <v>15207234</v>
      </c>
    </row>
    <row r="192" spans="1:7" x14ac:dyDescent="0.3">
      <c r="A192" s="111">
        <v>45902</v>
      </c>
      <c r="B192" s="187" t="s">
        <v>1026</v>
      </c>
      <c r="C192" s="187"/>
      <c r="D192" s="188" t="s">
        <v>1027</v>
      </c>
      <c r="E192" s="189">
        <v>100000000</v>
      </c>
      <c r="F192" s="189"/>
      <c r="G192" s="189">
        <f>G191+E192-F192</f>
        <v>115207234</v>
      </c>
    </row>
    <row r="193" spans="1:7" x14ac:dyDescent="0.3">
      <c r="A193" s="111">
        <v>45902</v>
      </c>
      <c r="B193" s="187" t="s">
        <v>1026</v>
      </c>
      <c r="C193" s="187"/>
      <c r="D193" s="188" t="s">
        <v>1027</v>
      </c>
      <c r="E193" s="189">
        <v>100000000</v>
      </c>
      <c r="F193" s="189"/>
      <c r="G193" s="189">
        <f>G192+E193-F193</f>
        <v>215207234</v>
      </c>
    </row>
    <row r="194" spans="1:7" ht="28.2" x14ac:dyDescent="0.3">
      <c r="A194" s="111">
        <v>45908</v>
      </c>
      <c r="B194" s="187">
        <v>5345695</v>
      </c>
      <c r="C194" s="187"/>
      <c r="D194" s="188" t="s">
        <v>928</v>
      </c>
      <c r="E194" s="189"/>
      <c r="F194" s="189">
        <v>315000</v>
      </c>
      <c r="G194" s="189">
        <f>G193+E194-F194</f>
        <v>214892234</v>
      </c>
    </row>
    <row r="195" spans="1:7" ht="28.2" x14ac:dyDescent="0.3">
      <c r="A195" s="111">
        <v>45908</v>
      </c>
      <c r="B195" s="187">
        <v>5345696</v>
      </c>
      <c r="C195" s="187"/>
      <c r="D195" s="188" t="s">
        <v>929</v>
      </c>
      <c r="E195" s="189"/>
      <c r="F195" s="189">
        <v>1640000</v>
      </c>
      <c r="G195" s="189">
        <f t="shared" ref="G195:G206" si="8">G194+E195-F195</f>
        <v>213252234</v>
      </c>
    </row>
    <row r="196" spans="1:7" x14ac:dyDescent="0.3">
      <c r="A196" s="247">
        <v>45902</v>
      </c>
      <c r="B196" s="187">
        <v>5345694</v>
      </c>
      <c r="C196" s="187"/>
      <c r="D196" s="188" t="s">
        <v>931</v>
      </c>
      <c r="E196" s="189"/>
      <c r="F196" s="189">
        <v>3933000</v>
      </c>
      <c r="G196" s="189">
        <f t="shared" si="8"/>
        <v>209319234</v>
      </c>
    </row>
    <row r="197" spans="1:7" x14ac:dyDescent="0.3">
      <c r="A197" s="111">
        <v>45908</v>
      </c>
      <c r="B197" s="187">
        <v>5345697</v>
      </c>
      <c r="C197" s="187"/>
      <c r="D197" s="188" t="s">
        <v>932</v>
      </c>
      <c r="E197" s="189"/>
      <c r="F197" s="189">
        <v>14739600</v>
      </c>
      <c r="G197" s="189">
        <f t="shared" si="8"/>
        <v>194579634</v>
      </c>
    </row>
    <row r="198" spans="1:7" x14ac:dyDescent="0.3">
      <c r="A198" s="111">
        <v>45902</v>
      </c>
      <c r="B198" s="187">
        <v>5345693</v>
      </c>
      <c r="C198" s="187"/>
      <c r="D198" s="188" t="s">
        <v>933</v>
      </c>
      <c r="E198" s="189"/>
      <c r="F198" s="189">
        <v>357500</v>
      </c>
      <c r="G198" s="189">
        <f t="shared" si="8"/>
        <v>194222134</v>
      </c>
    </row>
    <row r="199" spans="1:7" ht="28.2" x14ac:dyDescent="0.3">
      <c r="A199" s="111">
        <v>45918</v>
      </c>
      <c r="B199" s="187">
        <v>5345702</v>
      </c>
      <c r="C199" s="187"/>
      <c r="D199" s="188" t="s">
        <v>935</v>
      </c>
      <c r="E199" s="189"/>
      <c r="F199" s="189">
        <v>7549964</v>
      </c>
      <c r="G199" s="189">
        <f t="shared" si="8"/>
        <v>186672170</v>
      </c>
    </row>
    <row r="200" spans="1:7" ht="28.2" x14ac:dyDescent="0.3">
      <c r="A200" s="111">
        <v>45918</v>
      </c>
      <c r="B200" s="187">
        <v>5345701</v>
      </c>
      <c r="C200" s="187"/>
      <c r="D200" s="188" t="s">
        <v>936</v>
      </c>
      <c r="E200" s="189"/>
      <c r="F200" s="189">
        <v>6149962</v>
      </c>
      <c r="G200" s="189">
        <f t="shared" si="8"/>
        <v>180522208</v>
      </c>
    </row>
    <row r="201" spans="1:7" x14ac:dyDescent="0.3">
      <c r="A201" s="111">
        <v>45918</v>
      </c>
      <c r="B201" s="187">
        <v>5345703</v>
      </c>
      <c r="C201" s="187"/>
      <c r="D201" s="188" t="s">
        <v>938</v>
      </c>
      <c r="E201" s="189"/>
      <c r="F201" s="189">
        <v>684250</v>
      </c>
      <c r="G201" s="189">
        <f t="shared" si="8"/>
        <v>179837958</v>
      </c>
    </row>
    <row r="202" spans="1:7" ht="28.2" x14ac:dyDescent="0.3">
      <c r="A202" s="111">
        <v>45924</v>
      </c>
      <c r="B202" s="187">
        <v>5345708</v>
      </c>
      <c r="C202" s="187"/>
      <c r="D202" s="188" t="s">
        <v>939</v>
      </c>
      <c r="E202" s="189"/>
      <c r="F202" s="189">
        <v>204000</v>
      </c>
      <c r="G202" s="189">
        <f t="shared" si="8"/>
        <v>179633958</v>
      </c>
    </row>
    <row r="203" spans="1:7" x14ac:dyDescent="0.3">
      <c r="A203" s="111">
        <v>45924</v>
      </c>
      <c r="B203" s="187">
        <v>5345707</v>
      </c>
      <c r="C203" s="187"/>
      <c r="D203" s="188" t="s">
        <v>940</v>
      </c>
      <c r="E203" s="189"/>
      <c r="F203" s="189">
        <v>105000</v>
      </c>
      <c r="G203" s="189">
        <f t="shared" si="8"/>
        <v>179528958</v>
      </c>
    </row>
    <row r="204" spans="1:7" x14ac:dyDescent="0.3">
      <c r="A204" s="111">
        <v>45924</v>
      </c>
      <c r="B204" s="187">
        <v>5345706</v>
      </c>
      <c r="C204" s="187"/>
      <c r="D204" s="188" t="s">
        <v>860</v>
      </c>
      <c r="E204" s="189"/>
      <c r="F204" s="189">
        <v>441500</v>
      </c>
      <c r="G204" s="189">
        <f t="shared" si="8"/>
        <v>179087458</v>
      </c>
    </row>
    <row r="205" spans="1:7" x14ac:dyDescent="0.3">
      <c r="A205" s="111">
        <v>45924</v>
      </c>
      <c r="B205" s="187">
        <v>5345705</v>
      </c>
      <c r="C205" s="187"/>
      <c r="D205" s="188" t="s">
        <v>941</v>
      </c>
      <c r="E205" s="189"/>
      <c r="F205" s="189">
        <v>725000</v>
      </c>
      <c r="G205" s="189">
        <f t="shared" si="8"/>
        <v>178362458</v>
      </c>
    </row>
    <row r="206" spans="1:7" x14ac:dyDescent="0.3">
      <c r="A206" s="337"/>
      <c r="B206" s="187"/>
      <c r="C206" s="187"/>
      <c r="D206" s="188"/>
      <c r="E206" s="189"/>
      <c r="F206" s="189"/>
      <c r="G206" s="189">
        <f t="shared" si="8"/>
        <v>178362458</v>
      </c>
    </row>
    <row r="207" spans="1:7" ht="15.6" x14ac:dyDescent="0.3">
      <c r="A207" s="362" t="s">
        <v>1020</v>
      </c>
      <c r="B207" s="363"/>
      <c r="C207" s="363"/>
      <c r="D207" s="364"/>
      <c r="E207" s="338">
        <f>SUM(E188:E206)</f>
        <v>217599434</v>
      </c>
      <c r="F207" s="338">
        <f>SUM(F190:F206)</f>
        <v>39236976</v>
      </c>
      <c r="G207" s="339">
        <f>G206</f>
        <v>178362458</v>
      </c>
    </row>
    <row r="209" spans="1:7" ht="15.6" x14ac:dyDescent="0.3">
      <c r="A209" s="360">
        <v>45566</v>
      </c>
      <c r="B209" s="361"/>
      <c r="C209" s="361"/>
      <c r="D209" s="361"/>
      <c r="E209" s="361"/>
      <c r="F209" s="361"/>
      <c r="G209" s="361"/>
    </row>
    <row r="210" spans="1:7" ht="15.6" x14ac:dyDescent="0.3">
      <c r="A210" s="4" t="s">
        <v>0</v>
      </c>
      <c r="B210" s="10" t="s">
        <v>5</v>
      </c>
      <c r="C210" s="10"/>
      <c r="D210" s="5" t="s">
        <v>1</v>
      </c>
      <c r="E210" s="193" t="s">
        <v>2</v>
      </c>
      <c r="F210" s="185" t="s">
        <v>3</v>
      </c>
      <c r="G210" s="6" t="s">
        <v>4</v>
      </c>
    </row>
    <row r="211" spans="1:7" x14ac:dyDescent="0.3">
      <c r="A211" s="1"/>
      <c r="B211" s="11"/>
      <c r="C211" s="11"/>
      <c r="D211" s="8"/>
      <c r="E211" s="3">
        <f>G206</f>
        <v>178362458</v>
      </c>
      <c r="F211" s="3"/>
      <c r="G211" s="3">
        <f>E211-F211</f>
        <v>178362458</v>
      </c>
    </row>
    <row r="212" spans="1:7" ht="27.6" x14ac:dyDescent="0.3">
      <c r="A212" s="111" t="s">
        <v>949</v>
      </c>
      <c r="B212" s="317" t="s">
        <v>834</v>
      </c>
      <c r="C212" s="11"/>
      <c r="D212" s="110" t="s">
        <v>948</v>
      </c>
      <c r="E212" s="3"/>
      <c r="F212" s="113">
        <v>9600000</v>
      </c>
      <c r="G212" s="3">
        <f>SUM(G211+E212-F212)</f>
        <v>168762458</v>
      </c>
    </row>
    <row r="213" spans="1:7" ht="27.6" x14ac:dyDescent="0.3">
      <c r="A213" s="111">
        <v>45931</v>
      </c>
      <c r="B213" s="317" t="s">
        <v>831</v>
      </c>
      <c r="C213" s="11"/>
      <c r="D213" s="110" t="s">
        <v>950</v>
      </c>
      <c r="E213" s="3"/>
      <c r="F213" s="113">
        <v>9240000</v>
      </c>
      <c r="G213" s="3">
        <f t="shared" ref="G213:G238" si="9">SUM(G212+E213-F213)</f>
        <v>159522458</v>
      </c>
    </row>
    <row r="214" spans="1:7" ht="27.6" x14ac:dyDescent="0.3">
      <c r="A214" s="111">
        <v>45931</v>
      </c>
      <c r="B214" s="317" t="s">
        <v>951</v>
      </c>
      <c r="C214" s="11"/>
      <c r="D214" s="110" t="s">
        <v>950</v>
      </c>
      <c r="E214" s="3"/>
      <c r="F214" s="113">
        <v>8140000</v>
      </c>
      <c r="G214" s="3">
        <f t="shared" si="9"/>
        <v>151382458</v>
      </c>
    </row>
    <row r="215" spans="1:7" ht="27.6" x14ac:dyDescent="0.3">
      <c r="A215" s="247">
        <v>45931</v>
      </c>
      <c r="B215" s="318" t="s">
        <v>831</v>
      </c>
      <c r="C215" s="11"/>
      <c r="D215" s="110" t="s">
        <v>952</v>
      </c>
      <c r="E215" s="3"/>
      <c r="F215" s="249">
        <v>9600000</v>
      </c>
      <c r="G215" s="3">
        <f t="shared" si="9"/>
        <v>141782458</v>
      </c>
    </row>
    <row r="216" spans="1:7" x14ac:dyDescent="0.3">
      <c r="A216" s="111">
        <v>45931</v>
      </c>
      <c r="B216" s="311" t="s">
        <v>951</v>
      </c>
      <c r="C216" s="11"/>
      <c r="D216" s="110" t="s">
        <v>953</v>
      </c>
      <c r="E216" s="3"/>
      <c r="F216" s="113">
        <v>33000000</v>
      </c>
      <c r="G216" s="3">
        <f t="shared" si="9"/>
        <v>108782458</v>
      </c>
    </row>
    <row r="217" spans="1:7" x14ac:dyDescent="0.3">
      <c r="A217" s="111">
        <v>45931</v>
      </c>
      <c r="B217" s="311" t="s">
        <v>951</v>
      </c>
      <c r="C217" s="11"/>
      <c r="D217" s="110" t="s">
        <v>953</v>
      </c>
      <c r="E217" s="3"/>
      <c r="F217" s="113">
        <v>33000000</v>
      </c>
      <c r="G217" s="3">
        <f t="shared" si="9"/>
        <v>75782458</v>
      </c>
    </row>
    <row r="218" spans="1:7" ht="27.6" x14ac:dyDescent="0.3">
      <c r="A218" s="111">
        <v>45931</v>
      </c>
      <c r="B218" s="311" t="s">
        <v>831</v>
      </c>
      <c r="C218" s="11"/>
      <c r="D218" s="110" t="s">
        <v>955</v>
      </c>
      <c r="E218" s="3"/>
      <c r="F218" s="249">
        <v>9600000</v>
      </c>
      <c r="G218" s="3">
        <f t="shared" si="9"/>
        <v>66182458</v>
      </c>
    </row>
    <row r="219" spans="1:7" x14ac:dyDescent="0.3">
      <c r="A219" s="111">
        <v>45932</v>
      </c>
      <c r="B219" s="311" t="s">
        <v>831</v>
      </c>
      <c r="C219" s="11"/>
      <c r="D219" s="110" t="s">
        <v>956</v>
      </c>
      <c r="E219" s="3"/>
      <c r="F219" s="113">
        <v>1980000</v>
      </c>
      <c r="G219" s="3">
        <f t="shared" si="9"/>
        <v>64202458</v>
      </c>
    </row>
    <row r="220" spans="1:7" ht="27.6" x14ac:dyDescent="0.3">
      <c r="A220" s="111">
        <v>45930</v>
      </c>
      <c r="B220" s="311">
        <v>5345709</v>
      </c>
      <c r="C220" s="11"/>
      <c r="D220" s="110" t="s">
        <v>957</v>
      </c>
      <c r="E220" s="3"/>
      <c r="F220" s="113">
        <v>1921800</v>
      </c>
      <c r="G220" s="3">
        <f t="shared" si="9"/>
        <v>62280658</v>
      </c>
    </row>
    <row r="221" spans="1:7" x14ac:dyDescent="0.3">
      <c r="A221" s="236"/>
      <c r="B221" s="312">
        <v>5345712</v>
      </c>
      <c r="C221" s="11"/>
      <c r="D221" s="320"/>
      <c r="E221" s="3"/>
      <c r="F221" s="238">
        <v>5514400</v>
      </c>
      <c r="G221" s="3">
        <f t="shared" si="9"/>
        <v>56766258</v>
      </c>
    </row>
    <row r="222" spans="1:7" x14ac:dyDescent="0.3">
      <c r="A222" s="236"/>
      <c r="B222" s="312">
        <v>5345710</v>
      </c>
      <c r="C222" s="11"/>
      <c r="D222" s="320"/>
      <c r="E222" s="3"/>
      <c r="F222" s="238">
        <v>2042040</v>
      </c>
      <c r="G222" s="3">
        <f t="shared" si="9"/>
        <v>54724218</v>
      </c>
    </row>
    <row r="223" spans="1:7" ht="27.6" x14ac:dyDescent="0.3">
      <c r="A223" s="111">
        <v>45930</v>
      </c>
      <c r="B223" s="311">
        <v>5345711</v>
      </c>
      <c r="C223" s="11"/>
      <c r="D223" s="110" t="s">
        <v>958</v>
      </c>
      <c r="E223" s="3"/>
      <c r="F223" s="113">
        <v>1837800</v>
      </c>
      <c r="G223" s="3">
        <f t="shared" si="9"/>
        <v>52886418</v>
      </c>
    </row>
    <row r="224" spans="1:7" ht="27.6" x14ac:dyDescent="0.3">
      <c r="A224" s="111">
        <v>45930</v>
      </c>
      <c r="B224" s="311">
        <v>5347713</v>
      </c>
      <c r="C224" s="11"/>
      <c r="D224" s="110" t="s">
        <v>961</v>
      </c>
      <c r="E224" s="3"/>
      <c r="F224" s="113">
        <v>9120950</v>
      </c>
      <c r="G224" s="3">
        <f t="shared" si="9"/>
        <v>43765468</v>
      </c>
    </row>
    <row r="225" spans="1:7" ht="27.6" x14ac:dyDescent="0.3">
      <c r="A225" s="111">
        <v>45910</v>
      </c>
      <c r="B225" s="311">
        <v>5345699</v>
      </c>
      <c r="C225" s="11"/>
      <c r="D225" s="110" t="s">
        <v>962</v>
      </c>
      <c r="E225" s="3"/>
      <c r="F225" s="113">
        <v>375000</v>
      </c>
      <c r="G225" s="3">
        <f t="shared" si="9"/>
        <v>43390468</v>
      </c>
    </row>
    <row r="226" spans="1:7" ht="27.6" x14ac:dyDescent="0.3">
      <c r="A226" s="111">
        <v>45826</v>
      </c>
      <c r="B226" s="311">
        <v>5245655</v>
      </c>
      <c r="C226" s="11"/>
      <c r="D226" s="110" t="s">
        <v>962</v>
      </c>
      <c r="E226" s="3"/>
      <c r="F226" s="113">
        <v>375000</v>
      </c>
      <c r="G226" s="3">
        <f t="shared" si="9"/>
        <v>43015468</v>
      </c>
    </row>
    <row r="227" spans="1:7" ht="27.6" x14ac:dyDescent="0.3">
      <c r="A227" s="111">
        <v>45918</v>
      </c>
      <c r="B227" s="311">
        <v>5345700</v>
      </c>
      <c r="C227" s="11"/>
      <c r="D227" s="110" t="s">
        <v>964</v>
      </c>
      <c r="E227" s="3"/>
      <c r="F227" s="113">
        <v>375000</v>
      </c>
      <c r="G227" s="3">
        <f t="shared" si="9"/>
        <v>42640468</v>
      </c>
    </row>
    <row r="228" spans="1:7" ht="27.6" x14ac:dyDescent="0.3">
      <c r="A228" s="111">
        <v>45852</v>
      </c>
      <c r="B228" s="311">
        <v>5345670</v>
      </c>
      <c r="C228" s="11"/>
      <c r="D228" s="110" t="s">
        <v>965</v>
      </c>
      <c r="E228" s="3"/>
      <c r="F228" s="113">
        <v>375000</v>
      </c>
      <c r="G228" s="3">
        <f t="shared" si="9"/>
        <v>42265468</v>
      </c>
    </row>
    <row r="229" spans="1:7" x14ac:dyDescent="0.3">
      <c r="A229" s="111">
        <v>45936</v>
      </c>
      <c r="B229" s="311">
        <v>5345716</v>
      </c>
      <c r="C229" s="11"/>
      <c r="D229" s="110" t="s">
        <v>966</v>
      </c>
      <c r="E229" s="3"/>
      <c r="F229" s="113">
        <v>309000</v>
      </c>
      <c r="G229" s="3">
        <f t="shared" si="9"/>
        <v>41956468</v>
      </c>
    </row>
    <row r="230" spans="1:7" ht="27.6" x14ac:dyDescent="0.3">
      <c r="A230" s="111">
        <v>45902</v>
      </c>
      <c r="B230" s="311">
        <v>5345714</v>
      </c>
      <c r="C230" s="11"/>
      <c r="D230" s="110" t="s">
        <v>968</v>
      </c>
      <c r="E230" s="3"/>
      <c r="F230" s="113">
        <v>3947000</v>
      </c>
      <c r="G230" s="3">
        <f t="shared" si="9"/>
        <v>38009468</v>
      </c>
    </row>
    <row r="231" spans="1:7" x14ac:dyDescent="0.3">
      <c r="A231" s="111">
        <v>45936</v>
      </c>
      <c r="B231" s="311">
        <v>5345717</v>
      </c>
      <c r="C231" s="11"/>
      <c r="D231" s="110" t="s">
        <v>969</v>
      </c>
      <c r="E231" s="3"/>
      <c r="F231" s="113">
        <v>400000</v>
      </c>
      <c r="G231" s="3">
        <f t="shared" si="9"/>
        <v>37609468</v>
      </c>
    </row>
    <row r="232" spans="1:7" x14ac:dyDescent="0.3">
      <c r="A232" s="111">
        <v>45950</v>
      </c>
      <c r="B232" s="311"/>
      <c r="C232" s="11"/>
      <c r="D232" s="110" t="s">
        <v>1028</v>
      </c>
      <c r="E232" s="3">
        <v>120000</v>
      </c>
      <c r="F232" s="113"/>
      <c r="G232" s="3">
        <f>SUM(G231+E232-F232)</f>
        <v>37729468</v>
      </c>
    </row>
    <row r="233" spans="1:7" ht="27.6" x14ac:dyDescent="0.3">
      <c r="A233" s="111">
        <v>45952</v>
      </c>
      <c r="B233" s="311">
        <v>5345718</v>
      </c>
      <c r="C233" s="11"/>
      <c r="D233" s="110" t="s">
        <v>971</v>
      </c>
      <c r="E233" s="3"/>
      <c r="F233" s="113">
        <v>165000</v>
      </c>
      <c r="G233" s="3">
        <f t="shared" si="9"/>
        <v>37564468</v>
      </c>
    </row>
    <row r="234" spans="1:7" ht="27.6" x14ac:dyDescent="0.3">
      <c r="A234" s="111">
        <v>45952</v>
      </c>
      <c r="B234" s="311">
        <v>5345719</v>
      </c>
      <c r="C234" s="11"/>
      <c r="D234" s="110" t="s">
        <v>972</v>
      </c>
      <c r="E234" s="3"/>
      <c r="F234" s="113">
        <v>2600000</v>
      </c>
      <c r="G234" s="3">
        <f t="shared" si="9"/>
        <v>34964468</v>
      </c>
    </row>
    <row r="235" spans="1:7" x14ac:dyDescent="0.3">
      <c r="A235" s="236"/>
      <c r="B235" s="312">
        <v>5345720</v>
      </c>
      <c r="C235" s="11"/>
      <c r="D235" s="320"/>
      <c r="E235" s="3"/>
      <c r="F235" s="238">
        <v>3327500</v>
      </c>
      <c r="G235" s="3">
        <f t="shared" si="9"/>
        <v>31636968</v>
      </c>
    </row>
    <row r="236" spans="1:7" ht="27.6" x14ac:dyDescent="0.3">
      <c r="A236" s="111">
        <v>45957</v>
      </c>
      <c r="B236" s="311">
        <v>5345721</v>
      </c>
      <c r="C236" s="11"/>
      <c r="D236" s="110" t="s">
        <v>973</v>
      </c>
      <c r="E236" s="3"/>
      <c r="F236" s="113">
        <v>2647500</v>
      </c>
      <c r="G236" s="3">
        <f t="shared" si="9"/>
        <v>28989468</v>
      </c>
    </row>
    <row r="237" spans="1:7" x14ac:dyDescent="0.3">
      <c r="A237" s="111">
        <v>45960</v>
      </c>
      <c r="B237" s="311">
        <v>5345723</v>
      </c>
      <c r="C237" s="11"/>
      <c r="D237" s="110" t="s">
        <v>974</v>
      </c>
      <c r="E237" s="3"/>
      <c r="F237" s="113">
        <v>2000000</v>
      </c>
      <c r="G237" s="3">
        <f t="shared" si="9"/>
        <v>26989468</v>
      </c>
    </row>
    <row r="238" spans="1:7" x14ac:dyDescent="0.3">
      <c r="A238" s="1"/>
      <c r="B238" s="11"/>
      <c r="C238" s="11"/>
      <c r="D238" s="8"/>
      <c r="E238" s="3"/>
      <c r="F238" s="3"/>
      <c r="G238" s="3">
        <f t="shared" si="9"/>
        <v>26989468</v>
      </c>
    </row>
    <row r="239" spans="1:7" ht="15.6" x14ac:dyDescent="0.3">
      <c r="A239" s="362" t="s">
        <v>1016</v>
      </c>
      <c r="B239" s="363"/>
      <c r="C239" s="363"/>
      <c r="D239" s="364"/>
      <c r="E239" s="338">
        <f>SUM(E220:E238)</f>
        <v>120000</v>
      </c>
      <c r="F239" s="338">
        <f>SUM(F211:F238)</f>
        <v>151492990</v>
      </c>
      <c r="G239" s="339">
        <f>G238</f>
        <v>26989468</v>
      </c>
    </row>
    <row r="241" spans="1:7" ht="15.6" x14ac:dyDescent="0.3">
      <c r="A241" s="360">
        <v>45597</v>
      </c>
      <c r="B241" s="361"/>
      <c r="C241" s="361"/>
      <c r="D241" s="361"/>
      <c r="E241" s="361"/>
      <c r="F241" s="361"/>
      <c r="G241" s="361"/>
    </row>
    <row r="242" spans="1:7" ht="15.6" x14ac:dyDescent="0.3">
      <c r="A242" s="4" t="s">
        <v>0</v>
      </c>
      <c r="B242" s="10" t="s">
        <v>5</v>
      </c>
      <c r="C242" s="10"/>
      <c r="D242" s="5" t="s">
        <v>1</v>
      </c>
      <c r="E242" s="193" t="s">
        <v>2</v>
      </c>
      <c r="F242" s="185" t="s">
        <v>3</v>
      </c>
      <c r="G242" s="6" t="s">
        <v>4</v>
      </c>
    </row>
    <row r="243" spans="1:7" x14ac:dyDescent="0.3">
      <c r="A243" s="1"/>
      <c r="B243" s="11"/>
      <c r="C243" s="11"/>
      <c r="D243" s="8"/>
      <c r="E243" s="3">
        <f>G238</f>
        <v>26989468</v>
      </c>
      <c r="F243" s="3"/>
      <c r="G243" s="3">
        <f>E243-F243</f>
        <v>26989468</v>
      </c>
    </row>
    <row r="244" spans="1:7" x14ac:dyDescent="0.3">
      <c r="A244" s="111">
        <v>45934</v>
      </c>
      <c r="B244" s="317">
        <v>5345728</v>
      </c>
      <c r="C244" s="11"/>
      <c r="D244" s="110" t="s">
        <v>976</v>
      </c>
      <c r="E244" s="3"/>
      <c r="F244" s="113">
        <v>88000</v>
      </c>
      <c r="G244" s="3">
        <f>G243+E244-F244</f>
        <v>26901468</v>
      </c>
    </row>
    <row r="245" spans="1:7" x14ac:dyDescent="0.3">
      <c r="A245" s="111">
        <v>45934</v>
      </c>
      <c r="B245" s="317">
        <v>5345730</v>
      </c>
      <c r="C245" s="11"/>
      <c r="D245" s="110" t="s">
        <v>977</v>
      </c>
      <c r="E245" s="3"/>
      <c r="F245" s="113">
        <v>145000</v>
      </c>
      <c r="G245" s="3">
        <f t="shared" ref="G245:G250" si="10">G244+E245-F245</f>
        <v>26756468</v>
      </c>
    </row>
    <row r="246" spans="1:7" x14ac:dyDescent="0.3">
      <c r="A246" s="111">
        <v>45934</v>
      </c>
      <c r="B246" s="317">
        <v>5345729</v>
      </c>
      <c r="C246" s="11"/>
      <c r="D246" s="110" t="s">
        <v>977</v>
      </c>
      <c r="E246" s="3"/>
      <c r="F246" s="113">
        <v>445000</v>
      </c>
      <c r="G246" s="3">
        <f t="shared" si="10"/>
        <v>26311468</v>
      </c>
    </row>
    <row r="247" spans="1:7" x14ac:dyDescent="0.3">
      <c r="A247" s="247">
        <v>45934</v>
      </c>
      <c r="B247" s="318">
        <v>5345726</v>
      </c>
      <c r="C247" s="11"/>
      <c r="D247" s="110" t="s">
        <v>977</v>
      </c>
      <c r="E247" s="3"/>
      <c r="F247" s="249">
        <v>230000</v>
      </c>
      <c r="G247" s="3">
        <f t="shared" si="10"/>
        <v>26081468</v>
      </c>
    </row>
    <row r="248" spans="1:7" x14ac:dyDescent="0.3">
      <c r="A248" s="247">
        <v>45934</v>
      </c>
      <c r="B248" s="318">
        <v>5345727</v>
      </c>
      <c r="C248" s="11"/>
      <c r="D248" s="110" t="s">
        <v>977</v>
      </c>
      <c r="E248" s="3"/>
      <c r="F248" s="249">
        <v>350000</v>
      </c>
      <c r="G248" s="3">
        <f t="shared" si="10"/>
        <v>25731468</v>
      </c>
    </row>
    <row r="249" spans="1:7" x14ac:dyDescent="0.3">
      <c r="A249" s="111">
        <v>45974</v>
      </c>
      <c r="B249" s="311">
        <v>5345732</v>
      </c>
      <c r="C249" s="11"/>
      <c r="D249" s="110" t="s">
        <v>982</v>
      </c>
      <c r="E249" s="3"/>
      <c r="F249" s="113">
        <v>3919000</v>
      </c>
      <c r="G249" s="3">
        <f t="shared" si="10"/>
        <v>21812468</v>
      </c>
    </row>
    <row r="250" spans="1:7" x14ac:dyDescent="0.3">
      <c r="A250" s="1"/>
      <c r="B250" s="11"/>
      <c r="C250" s="11"/>
      <c r="D250" s="8"/>
      <c r="E250" s="3"/>
      <c r="F250" s="3"/>
      <c r="G250" s="3">
        <f t="shared" si="10"/>
        <v>21812468</v>
      </c>
    </row>
    <row r="251" spans="1:7" ht="15.6" x14ac:dyDescent="0.3">
      <c r="A251" s="362" t="s">
        <v>1015</v>
      </c>
      <c r="B251" s="363"/>
      <c r="C251" s="363"/>
      <c r="D251" s="364"/>
      <c r="E251" s="338">
        <f>SUM(E243:E250)</f>
        <v>26989468</v>
      </c>
      <c r="F251" s="338">
        <f>SUM(F243:F250)</f>
        <v>5177000</v>
      </c>
      <c r="G251" s="339">
        <f>G250</f>
        <v>21812468</v>
      </c>
    </row>
    <row r="254" spans="1:7" ht="15.6" x14ac:dyDescent="0.3">
      <c r="A254" s="360">
        <v>45627</v>
      </c>
      <c r="B254" s="361"/>
      <c r="C254" s="361"/>
      <c r="D254" s="361"/>
      <c r="E254" s="361"/>
      <c r="F254" s="361"/>
      <c r="G254" s="361"/>
    </row>
    <row r="255" spans="1:7" ht="15.6" x14ac:dyDescent="0.3">
      <c r="A255" s="4" t="s">
        <v>0</v>
      </c>
      <c r="B255" s="10" t="s">
        <v>5</v>
      </c>
      <c r="C255" s="10"/>
      <c r="D255" s="5" t="s">
        <v>1</v>
      </c>
      <c r="E255" s="193" t="s">
        <v>2</v>
      </c>
      <c r="F255" s="185" t="s">
        <v>3</v>
      </c>
      <c r="G255" s="6" t="s">
        <v>4</v>
      </c>
    </row>
    <row r="256" spans="1:7" x14ac:dyDescent="0.3">
      <c r="A256" s="1"/>
      <c r="B256" s="11"/>
      <c r="C256" s="11"/>
      <c r="D256" s="8"/>
      <c r="E256" s="3">
        <f>G250</f>
        <v>21812468</v>
      </c>
      <c r="F256" s="3"/>
      <c r="G256" s="3">
        <f>E256-F256</f>
        <v>21812468</v>
      </c>
    </row>
    <row r="257" spans="1:7" ht="27.6" x14ac:dyDescent="0.3">
      <c r="A257" s="111">
        <v>45993</v>
      </c>
      <c r="B257" s="317">
        <v>5345735</v>
      </c>
      <c r="C257" s="11"/>
      <c r="D257" s="110" t="s">
        <v>983</v>
      </c>
      <c r="E257" s="3"/>
      <c r="F257" s="113">
        <v>5000000</v>
      </c>
      <c r="G257" s="3">
        <f t="shared" ref="G257:G262" si="11">SUM(G256+E257-F257)</f>
        <v>16812468</v>
      </c>
    </row>
    <row r="258" spans="1:7" x14ac:dyDescent="0.3">
      <c r="A258" s="111">
        <v>45987</v>
      </c>
      <c r="B258" s="317">
        <v>5345734</v>
      </c>
      <c r="C258" s="11"/>
      <c r="D258" s="110" t="s">
        <v>984</v>
      </c>
      <c r="E258" s="3"/>
      <c r="F258" s="113">
        <v>2250000</v>
      </c>
      <c r="G258" s="3">
        <f t="shared" si="11"/>
        <v>14562468</v>
      </c>
    </row>
    <row r="259" spans="1:7" x14ac:dyDescent="0.3">
      <c r="A259" s="124"/>
      <c r="B259" s="312">
        <v>5345698</v>
      </c>
      <c r="C259" s="11"/>
      <c r="D259" s="123"/>
      <c r="E259" s="3"/>
      <c r="F259" s="126">
        <v>1050000</v>
      </c>
      <c r="G259" s="3">
        <f t="shared" si="11"/>
        <v>13512468</v>
      </c>
    </row>
    <row r="260" spans="1:7" x14ac:dyDescent="0.3">
      <c r="A260" s="247">
        <v>46000</v>
      </c>
      <c r="B260" s="318">
        <v>5345736</v>
      </c>
      <c r="C260" s="11"/>
      <c r="D260" s="246" t="s">
        <v>987</v>
      </c>
      <c r="E260" s="3"/>
      <c r="F260" s="249">
        <v>500000</v>
      </c>
      <c r="G260" s="3">
        <f t="shared" si="11"/>
        <v>13012468</v>
      </c>
    </row>
    <row r="261" spans="1:7" x14ac:dyDescent="0.3">
      <c r="A261" s="345">
        <v>46008</v>
      </c>
      <c r="B261" s="346"/>
      <c r="C261" s="11"/>
      <c r="D261" s="347" t="s">
        <v>1029</v>
      </c>
      <c r="E261" s="3">
        <v>9240500</v>
      </c>
      <c r="F261" s="348"/>
      <c r="G261" s="3">
        <f t="shared" si="11"/>
        <v>22252968</v>
      </c>
    </row>
    <row r="262" spans="1:7" x14ac:dyDescent="0.3">
      <c r="A262" s="1"/>
      <c r="B262" s="11"/>
      <c r="C262" s="11"/>
      <c r="D262" s="8"/>
      <c r="E262" s="3"/>
      <c r="F262" s="3"/>
      <c r="G262" s="3">
        <f t="shared" si="11"/>
        <v>22252968</v>
      </c>
    </row>
    <row r="263" spans="1:7" ht="15.6" x14ac:dyDescent="0.3">
      <c r="A263" s="362" t="s">
        <v>1015</v>
      </c>
      <c r="B263" s="363"/>
      <c r="C263" s="363"/>
      <c r="D263" s="364"/>
      <c r="E263" s="338">
        <f>SUM(E256:E262)</f>
        <v>31052968</v>
      </c>
      <c r="F263" s="338">
        <f>SUM(F256:F262)</f>
        <v>8800000</v>
      </c>
      <c r="G263" s="339">
        <f>G262</f>
        <v>22252968</v>
      </c>
    </row>
  </sheetData>
  <sortState ref="A82:G89">
    <sortCondition ref="A82:A89"/>
  </sortState>
  <mergeCells count="25">
    <mergeCell ref="A263:D263"/>
    <mergeCell ref="A118:D118"/>
    <mergeCell ref="A140:D140"/>
    <mergeCell ref="A241:G241"/>
    <mergeCell ref="A254:G254"/>
    <mergeCell ref="A120:G120"/>
    <mergeCell ref="A142:G142"/>
    <mergeCell ref="A166:G166"/>
    <mergeCell ref="A188:G188"/>
    <mergeCell ref="A209:G209"/>
    <mergeCell ref="A163:D163"/>
    <mergeCell ref="A186:D186"/>
    <mergeCell ref="A207:D207"/>
    <mergeCell ref="A239:D239"/>
    <mergeCell ref="A251:D251"/>
    <mergeCell ref="A95:G95"/>
    <mergeCell ref="A28:D28"/>
    <mergeCell ref="A1:F1"/>
    <mergeCell ref="A2:G2"/>
    <mergeCell ref="A30:G30"/>
    <mergeCell ref="A49:G49"/>
    <mergeCell ref="A81:G81"/>
    <mergeCell ref="A47:D47"/>
    <mergeCell ref="A79:D79"/>
    <mergeCell ref="A93:D9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9"/>
  <sheetViews>
    <sheetView topLeftCell="D172" workbookViewId="0">
      <selection activeCell="C54" sqref="C54"/>
    </sheetView>
  </sheetViews>
  <sheetFormatPr baseColWidth="10" defaultRowHeight="14.4" x14ac:dyDescent="0.3"/>
  <cols>
    <col min="1" max="1" width="12.44140625" bestFit="1" customWidth="1"/>
    <col min="2" max="2" width="14.5546875" bestFit="1" customWidth="1"/>
    <col min="3" max="3" width="42" style="9" customWidth="1"/>
    <col min="4" max="4" width="15.88671875" bestFit="1" customWidth="1"/>
    <col min="5" max="5" width="11.6640625" bestFit="1" customWidth="1"/>
    <col min="6" max="6" width="15.88671875" bestFit="1" customWidth="1"/>
    <col min="7" max="7" width="11.6640625" bestFit="1" customWidth="1"/>
    <col min="8" max="8" width="14" customWidth="1"/>
    <col min="9" max="9" width="36.5546875" customWidth="1"/>
    <col min="10" max="10" width="11.6640625" bestFit="1" customWidth="1"/>
    <col min="11" max="11" width="12.5546875" customWidth="1"/>
    <col min="12" max="12" width="12.5546875" bestFit="1" customWidth="1"/>
  </cols>
  <sheetData>
    <row r="1" spans="1:13" ht="15.6" x14ac:dyDescent="0.3">
      <c r="A1" s="373" t="s">
        <v>82</v>
      </c>
      <c r="B1" s="373"/>
      <c r="C1" s="373"/>
      <c r="D1" s="373"/>
      <c r="E1" s="373"/>
      <c r="F1" s="373"/>
      <c r="G1" s="373"/>
      <c r="H1" s="373"/>
      <c r="I1" s="373"/>
      <c r="J1" s="373"/>
      <c r="K1" s="373"/>
      <c r="L1" s="70"/>
      <c r="M1" s="71"/>
    </row>
    <row r="2" spans="1:13" ht="15.6" x14ac:dyDescent="0.3">
      <c r="A2" s="374" t="s">
        <v>83</v>
      </c>
      <c r="B2" s="375"/>
      <c r="C2" s="375"/>
      <c r="D2" s="375"/>
      <c r="E2" s="375"/>
      <c r="F2" s="376"/>
      <c r="G2" s="377" t="s">
        <v>84</v>
      </c>
      <c r="H2" s="378"/>
      <c r="I2" s="378"/>
      <c r="J2" s="378"/>
      <c r="K2" s="378"/>
      <c r="L2" s="379"/>
      <c r="M2" s="72"/>
    </row>
    <row r="3" spans="1:13" ht="15.6" x14ac:dyDescent="0.3">
      <c r="A3" s="73" t="s">
        <v>41</v>
      </c>
      <c r="B3" s="73" t="s">
        <v>42</v>
      </c>
      <c r="C3" s="74" t="s">
        <v>43</v>
      </c>
      <c r="D3" s="75" t="s">
        <v>44</v>
      </c>
      <c r="E3" s="76" t="s">
        <v>45</v>
      </c>
      <c r="F3" s="75" t="s">
        <v>46</v>
      </c>
      <c r="G3" s="73" t="s">
        <v>41</v>
      </c>
      <c r="H3" s="77" t="s">
        <v>42</v>
      </c>
      <c r="I3" s="73" t="s">
        <v>47</v>
      </c>
      <c r="J3" s="76" t="s">
        <v>44</v>
      </c>
      <c r="K3" s="75" t="s">
        <v>45</v>
      </c>
      <c r="L3" s="73" t="s">
        <v>48</v>
      </c>
      <c r="M3" s="73" t="s">
        <v>49</v>
      </c>
    </row>
    <row r="4" spans="1:13" ht="15.6" x14ac:dyDescent="0.3">
      <c r="A4" s="380" t="s">
        <v>85</v>
      </c>
      <c r="B4" s="380"/>
      <c r="C4" s="380"/>
      <c r="D4" s="380"/>
      <c r="E4" s="380"/>
      <c r="F4" s="380"/>
      <c r="G4" s="380"/>
      <c r="H4" s="380"/>
      <c r="I4" s="380"/>
      <c r="J4" s="380"/>
      <c r="K4" s="380"/>
      <c r="L4" s="78"/>
      <c r="M4" s="71"/>
    </row>
    <row r="5" spans="1:13" ht="20.25" customHeight="1" x14ac:dyDescent="0.3">
      <c r="A5" s="79">
        <v>45658</v>
      </c>
      <c r="B5" s="80" t="s">
        <v>6</v>
      </c>
      <c r="C5" s="81" t="s">
        <v>10</v>
      </c>
      <c r="D5" s="82">
        <v>445619551</v>
      </c>
      <c r="E5" s="83"/>
      <c r="F5" s="83">
        <f>D5-E5</f>
        <v>445619551</v>
      </c>
      <c r="G5" s="97">
        <v>45658</v>
      </c>
      <c r="H5" s="91" t="s">
        <v>6</v>
      </c>
      <c r="I5" s="98" t="s">
        <v>86</v>
      </c>
      <c r="J5" s="102"/>
      <c r="K5" s="88">
        <v>445619551</v>
      </c>
      <c r="L5" s="88">
        <f>K5-J5</f>
        <v>445619551</v>
      </c>
      <c r="M5" s="100"/>
    </row>
    <row r="6" spans="1:13" ht="15.6" x14ac:dyDescent="0.3">
      <c r="A6" s="84">
        <v>46015</v>
      </c>
      <c r="B6" s="85">
        <v>5129556</v>
      </c>
      <c r="C6" s="86" t="s">
        <v>11</v>
      </c>
      <c r="D6" s="87"/>
      <c r="E6" s="88">
        <v>65000</v>
      </c>
      <c r="F6" s="89">
        <f>F5+D6-E6</f>
        <v>445554551</v>
      </c>
      <c r="G6" s="97">
        <v>45659</v>
      </c>
      <c r="H6" s="103">
        <v>5129556</v>
      </c>
      <c r="I6" s="104" t="s">
        <v>87</v>
      </c>
      <c r="J6" s="105">
        <v>65000</v>
      </c>
      <c r="K6" s="88"/>
      <c r="L6" s="88">
        <f>L5-J6+K6</f>
        <v>445554551</v>
      </c>
      <c r="M6" s="99"/>
    </row>
    <row r="7" spans="1:13" ht="15.6" x14ac:dyDescent="0.3">
      <c r="A7" s="90">
        <v>46015</v>
      </c>
      <c r="B7" s="91">
        <v>5129557</v>
      </c>
      <c r="C7" s="86" t="s">
        <v>12</v>
      </c>
      <c r="D7" s="87"/>
      <c r="E7" s="88">
        <v>39000</v>
      </c>
      <c r="F7" s="89">
        <f t="shared" ref="F7:F27" si="0">F6+D7-E7</f>
        <v>445515551</v>
      </c>
      <c r="G7" s="97">
        <v>45932</v>
      </c>
      <c r="H7" s="103">
        <v>5129557</v>
      </c>
      <c r="I7" s="104" t="s">
        <v>52</v>
      </c>
      <c r="J7" s="105">
        <v>39000</v>
      </c>
      <c r="K7" s="88"/>
      <c r="L7" s="88">
        <f t="shared" ref="L7:L29" si="1">L6-J7+K7</f>
        <v>445515551</v>
      </c>
      <c r="M7" s="99"/>
    </row>
    <row r="8" spans="1:13" ht="31.2" x14ac:dyDescent="0.3">
      <c r="A8" s="90">
        <v>45659</v>
      </c>
      <c r="B8" s="91" t="s">
        <v>13</v>
      </c>
      <c r="C8" s="86" t="s">
        <v>14</v>
      </c>
      <c r="D8" s="87"/>
      <c r="E8" s="88">
        <v>500000</v>
      </c>
      <c r="F8" s="89">
        <f t="shared" si="0"/>
        <v>445015551</v>
      </c>
      <c r="G8" s="97">
        <v>45660</v>
      </c>
      <c r="H8" s="91" t="s">
        <v>88</v>
      </c>
      <c r="I8" s="87" t="s">
        <v>89</v>
      </c>
      <c r="J8" s="88">
        <v>529813</v>
      </c>
      <c r="K8" s="88"/>
      <c r="L8" s="88">
        <f t="shared" si="1"/>
        <v>444985738</v>
      </c>
      <c r="M8" s="99"/>
    </row>
    <row r="9" spans="1:13" ht="15.6" x14ac:dyDescent="0.3">
      <c r="A9" s="90">
        <v>46015</v>
      </c>
      <c r="B9" s="91">
        <v>5129558</v>
      </c>
      <c r="C9" s="86" t="s">
        <v>15</v>
      </c>
      <c r="D9" s="87"/>
      <c r="E9" s="88">
        <v>170000</v>
      </c>
      <c r="F9" s="89">
        <f t="shared" si="0"/>
        <v>444845551</v>
      </c>
      <c r="G9" s="97">
        <v>45660</v>
      </c>
      <c r="H9" s="91">
        <v>5129558</v>
      </c>
      <c r="I9" s="87" t="s">
        <v>90</v>
      </c>
      <c r="J9" s="88">
        <v>170000</v>
      </c>
      <c r="K9" s="88"/>
      <c r="L9" s="88">
        <f t="shared" si="1"/>
        <v>444815738</v>
      </c>
      <c r="M9" s="99"/>
    </row>
    <row r="10" spans="1:13" ht="31.2" x14ac:dyDescent="0.3">
      <c r="A10" s="90">
        <v>45660</v>
      </c>
      <c r="B10" s="91">
        <v>5129559</v>
      </c>
      <c r="C10" s="86" t="s">
        <v>16</v>
      </c>
      <c r="D10" s="87"/>
      <c r="E10" s="88">
        <v>13675000</v>
      </c>
      <c r="F10" s="89">
        <f t="shared" si="0"/>
        <v>431170551</v>
      </c>
      <c r="G10" s="97">
        <v>45663</v>
      </c>
      <c r="H10" s="91">
        <v>5129559</v>
      </c>
      <c r="I10" s="87" t="s">
        <v>91</v>
      </c>
      <c r="J10" s="88">
        <v>13675000</v>
      </c>
      <c r="K10" s="88"/>
      <c r="L10" s="88">
        <f t="shared" si="1"/>
        <v>431140738</v>
      </c>
      <c r="M10" s="99"/>
    </row>
    <row r="11" spans="1:13" ht="15.6" x14ac:dyDescent="0.3">
      <c r="A11" s="90">
        <v>45642</v>
      </c>
      <c r="B11" s="91">
        <v>5129552</v>
      </c>
      <c r="C11" s="86" t="s">
        <v>17</v>
      </c>
      <c r="D11" s="87"/>
      <c r="E11" s="88">
        <v>625000</v>
      </c>
      <c r="F11" s="89">
        <f t="shared" si="0"/>
        <v>430545551</v>
      </c>
      <c r="G11" s="97">
        <v>45665</v>
      </c>
      <c r="H11" s="91">
        <v>5129552</v>
      </c>
      <c r="I11" s="87" t="s">
        <v>92</v>
      </c>
      <c r="J11" s="88">
        <v>625000</v>
      </c>
      <c r="K11" s="88"/>
      <c r="L11" s="88">
        <f t="shared" si="1"/>
        <v>430515738</v>
      </c>
      <c r="M11" s="99"/>
    </row>
    <row r="12" spans="1:13" ht="15.6" x14ac:dyDescent="0.3">
      <c r="A12" s="90">
        <v>45666</v>
      </c>
      <c r="B12" s="91" t="s">
        <v>6</v>
      </c>
      <c r="C12" s="86" t="s">
        <v>27</v>
      </c>
      <c r="D12" s="87">
        <v>812000</v>
      </c>
      <c r="E12" s="88"/>
      <c r="F12" s="89">
        <f t="shared" si="0"/>
        <v>431357551</v>
      </c>
      <c r="G12" s="97">
        <v>45666</v>
      </c>
      <c r="H12" s="91" t="s">
        <v>88</v>
      </c>
      <c r="I12" s="87" t="s">
        <v>93</v>
      </c>
      <c r="J12" s="88"/>
      <c r="K12" s="88">
        <v>812000</v>
      </c>
      <c r="L12" s="88">
        <f t="shared" si="1"/>
        <v>431327738</v>
      </c>
      <c r="M12" s="99"/>
    </row>
    <row r="13" spans="1:13" ht="15.6" x14ac:dyDescent="0.3">
      <c r="A13" s="92">
        <v>45670</v>
      </c>
      <c r="B13" s="93">
        <v>5129560</v>
      </c>
      <c r="C13" s="94"/>
      <c r="D13" s="95"/>
      <c r="E13" s="96">
        <v>1425000</v>
      </c>
      <c r="F13" s="89">
        <f t="shared" si="0"/>
        <v>429932551</v>
      </c>
      <c r="G13" s="97">
        <v>45667</v>
      </c>
      <c r="H13" s="91" t="s">
        <v>6</v>
      </c>
      <c r="I13" s="87" t="s">
        <v>94</v>
      </c>
      <c r="J13" s="88">
        <v>4770</v>
      </c>
      <c r="K13" s="88"/>
      <c r="L13" s="88">
        <f t="shared" si="1"/>
        <v>431322968</v>
      </c>
      <c r="M13" s="99"/>
    </row>
    <row r="14" spans="1:13" ht="31.2" x14ac:dyDescent="0.3">
      <c r="A14" s="90">
        <v>45642</v>
      </c>
      <c r="B14" s="91">
        <v>5129542</v>
      </c>
      <c r="C14" s="86" t="s">
        <v>18</v>
      </c>
      <c r="D14" s="87"/>
      <c r="E14" s="88">
        <v>150000</v>
      </c>
      <c r="F14" s="89">
        <f t="shared" si="0"/>
        <v>429782551</v>
      </c>
      <c r="G14" s="90">
        <v>45670</v>
      </c>
      <c r="H14" s="91">
        <v>5129560</v>
      </c>
      <c r="I14" s="87" t="s">
        <v>95</v>
      </c>
      <c r="J14" s="88">
        <v>1425000</v>
      </c>
      <c r="K14" s="88"/>
      <c r="L14" s="88">
        <f t="shared" si="1"/>
        <v>429897968</v>
      </c>
      <c r="M14" s="99"/>
    </row>
    <row r="15" spans="1:13" ht="46.8" x14ac:dyDescent="0.3">
      <c r="A15" s="90">
        <v>44217</v>
      </c>
      <c r="B15" s="91">
        <v>5129567</v>
      </c>
      <c r="C15" s="86" t="s">
        <v>19</v>
      </c>
      <c r="D15" s="87"/>
      <c r="E15" s="88">
        <v>1909000</v>
      </c>
      <c r="F15" s="89">
        <f t="shared" si="0"/>
        <v>427873551</v>
      </c>
      <c r="G15" s="90">
        <v>45672</v>
      </c>
      <c r="H15" s="91">
        <v>5129542</v>
      </c>
      <c r="I15" s="87" t="s">
        <v>96</v>
      </c>
      <c r="J15" s="88">
        <v>150000</v>
      </c>
      <c r="K15" s="88"/>
      <c r="L15" s="88">
        <f t="shared" si="1"/>
        <v>429747968</v>
      </c>
      <c r="M15" s="99"/>
    </row>
    <row r="16" spans="1:13" ht="31.2" x14ac:dyDescent="0.3">
      <c r="A16" s="90">
        <v>45678</v>
      </c>
      <c r="B16" s="91">
        <v>5129562</v>
      </c>
      <c r="C16" s="86" t="s">
        <v>20</v>
      </c>
      <c r="D16" s="87"/>
      <c r="E16" s="88">
        <v>630000</v>
      </c>
      <c r="F16" s="89">
        <f t="shared" si="0"/>
        <v>427243551</v>
      </c>
      <c r="G16" s="90">
        <v>45678</v>
      </c>
      <c r="H16" s="91">
        <v>5129567</v>
      </c>
      <c r="I16" s="87" t="s">
        <v>97</v>
      </c>
      <c r="J16" s="88">
        <v>1909000</v>
      </c>
      <c r="K16" s="88"/>
      <c r="L16" s="88">
        <f t="shared" si="1"/>
        <v>427838968</v>
      </c>
      <c r="M16" s="99"/>
    </row>
    <row r="17" spans="1:13" ht="15.6" x14ac:dyDescent="0.3">
      <c r="A17" s="90">
        <v>45678</v>
      </c>
      <c r="B17" s="91" t="s">
        <v>22</v>
      </c>
      <c r="C17" s="86" t="s">
        <v>23</v>
      </c>
      <c r="D17" s="87"/>
      <c r="E17" s="88">
        <v>5550000</v>
      </c>
      <c r="F17" s="89">
        <f t="shared" si="0"/>
        <v>421693551</v>
      </c>
      <c r="G17" s="90">
        <v>45679</v>
      </c>
      <c r="H17" s="91">
        <v>5129562</v>
      </c>
      <c r="I17" s="87" t="s">
        <v>98</v>
      </c>
      <c r="J17" s="88">
        <v>630000</v>
      </c>
      <c r="K17" s="88"/>
      <c r="L17" s="88">
        <f t="shared" si="1"/>
        <v>427208968</v>
      </c>
      <c r="M17" s="99"/>
    </row>
    <row r="18" spans="1:13" ht="15.6" x14ac:dyDescent="0.3">
      <c r="A18" s="90">
        <v>45678</v>
      </c>
      <c r="B18" s="91">
        <v>5129565</v>
      </c>
      <c r="C18" s="86" t="s">
        <v>24</v>
      </c>
      <c r="D18" s="87"/>
      <c r="E18" s="88">
        <v>76000</v>
      </c>
      <c r="F18" s="89">
        <f t="shared" si="0"/>
        <v>421617551</v>
      </c>
      <c r="G18" s="90">
        <v>45679</v>
      </c>
      <c r="H18" s="91" t="s">
        <v>88</v>
      </c>
      <c r="I18" s="87" t="s">
        <v>65</v>
      </c>
      <c r="J18" s="88">
        <v>555963</v>
      </c>
      <c r="K18" s="88"/>
      <c r="L18" s="88">
        <f t="shared" si="1"/>
        <v>426653005</v>
      </c>
      <c r="M18" s="99"/>
    </row>
    <row r="19" spans="1:13" ht="31.2" x14ac:dyDescent="0.3">
      <c r="A19" s="90">
        <v>45312</v>
      </c>
      <c r="B19" s="91">
        <v>5129564</v>
      </c>
      <c r="C19" s="86" t="s">
        <v>25</v>
      </c>
      <c r="D19" s="87"/>
      <c r="E19" s="88">
        <v>3285000</v>
      </c>
      <c r="F19" s="89">
        <f t="shared" si="0"/>
        <v>418332551</v>
      </c>
      <c r="G19" s="90">
        <v>45679</v>
      </c>
      <c r="H19" s="91">
        <v>5129565</v>
      </c>
      <c r="I19" s="87" t="s">
        <v>52</v>
      </c>
      <c r="J19" s="88">
        <v>76000</v>
      </c>
      <c r="K19" s="88"/>
      <c r="L19" s="88">
        <f t="shared" si="1"/>
        <v>426577005</v>
      </c>
      <c r="M19" s="99"/>
    </row>
    <row r="20" spans="1:13" ht="31.2" x14ac:dyDescent="0.3">
      <c r="A20" s="90">
        <v>45679</v>
      </c>
      <c r="B20" s="91" t="s">
        <v>28</v>
      </c>
      <c r="C20" s="86" t="s">
        <v>29</v>
      </c>
      <c r="D20" s="87"/>
      <c r="E20" s="88">
        <v>1237000</v>
      </c>
      <c r="F20" s="89">
        <f t="shared" si="0"/>
        <v>417095551</v>
      </c>
      <c r="G20" s="90">
        <v>45679</v>
      </c>
      <c r="H20" s="91">
        <v>5129564</v>
      </c>
      <c r="I20" s="87" t="s">
        <v>53</v>
      </c>
      <c r="J20" s="88">
        <v>3285000</v>
      </c>
      <c r="K20" s="88"/>
      <c r="L20" s="88">
        <f t="shared" si="1"/>
        <v>423292005</v>
      </c>
      <c r="M20" s="99"/>
    </row>
    <row r="21" spans="1:13" ht="31.2" x14ac:dyDescent="0.3">
      <c r="A21" s="90">
        <v>45679</v>
      </c>
      <c r="B21" s="91" t="s">
        <v>30</v>
      </c>
      <c r="C21" s="86" t="s">
        <v>31</v>
      </c>
      <c r="D21" s="87"/>
      <c r="E21" s="88">
        <v>1225800</v>
      </c>
      <c r="F21" s="89">
        <f t="shared" si="0"/>
        <v>415869751</v>
      </c>
      <c r="G21" s="90">
        <v>45680</v>
      </c>
      <c r="H21" s="91" t="s">
        <v>88</v>
      </c>
      <c r="I21" s="87" t="s">
        <v>62</v>
      </c>
      <c r="J21" s="88">
        <v>1243463</v>
      </c>
      <c r="K21" s="88"/>
      <c r="L21" s="88">
        <f t="shared" si="1"/>
        <v>422048542</v>
      </c>
      <c r="M21" s="99"/>
    </row>
    <row r="22" spans="1:13" ht="31.2" x14ac:dyDescent="0.3">
      <c r="A22" s="90">
        <v>45678</v>
      </c>
      <c r="B22" s="91">
        <v>5129561</v>
      </c>
      <c r="C22" s="86" t="s">
        <v>32</v>
      </c>
      <c r="D22" s="87"/>
      <c r="E22" s="88">
        <v>4790000</v>
      </c>
      <c r="F22" s="89">
        <f t="shared" si="0"/>
        <v>411079751</v>
      </c>
      <c r="G22" s="97">
        <v>45680</v>
      </c>
      <c r="H22" s="101" t="s">
        <v>88</v>
      </c>
      <c r="I22" s="100" t="s">
        <v>99</v>
      </c>
      <c r="J22" s="99">
        <v>1255613</v>
      </c>
      <c r="K22" s="99"/>
      <c r="L22" s="88">
        <f t="shared" si="1"/>
        <v>420792929</v>
      </c>
      <c r="M22" s="99"/>
    </row>
    <row r="23" spans="1:13" ht="31.2" x14ac:dyDescent="0.3">
      <c r="A23" s="90">
        <v>45681</v>
      </c>
      <c r="B23" s="91" t="s">
        <v>33</v>
      </c>
      <c r="C23" s="86" t="s">
        <v>34</v>
      </c>
      <c r="D23" s="87"/>
      <c r="E23" s="88">
        <v>9600000</v>
      </c>
      <c r="F23" s="89">
        <f t="shared" si="0"/>
        <v>401479751</v>
      </c>
      <c r="G23" s="97">
        <v>45680</v>
      </c>
      <c r="H23" s="101">
        <v>5129561</v>
      </c>
      <c r="I23" s="100" t="s">
        <v>100</v>
      </c>
      <c r="J23" s="99">
        <v>4790000</v>
      </c>
      <c r="K23" s="99"/>
      <c r="L23" s="88">
        <f t="shared" si="1"/>
        <v>416002929</v>
      </c>
      <c r="M23" s="99"/>
    </row>
    <row r="24" spans="1:13" ht="31.2" x14ac:dyDescent="0.3">
      <c r="A24" s="90">
        <v>45681</v>
      </c>
      <c r="B24" s="91" t="s">
        <v>36</v>
      </c>
      <c r="C24" s="86" t="s">
        <v>35</v>
      </c>
      <c r="D24" s="87"/>
      <c r="E24" s="88">
        <v>9600000</v>
      </c>
      <c r="F24" s="89">
        <f t="shared" si="0"/>
        <v>391879751</v>
      </c>
      <c r="G24" s="97">
        <v>45681</v>
      </c>
      <c r="H24" s="101" t="s">
        <v>88</v>
      </c>
      <c r="I24" s="100" t="s">
        <v>101</v>
      </c>
      <c r="J24" s="99">
        <v>9605963</v>
      </c>
      <c r="K24" s="99"/>
      <c r="L24" s="88">
        <f t="shared" si="1"/>
        <v>406396966</v>
      </c>
      <c r="M24" s="99"/>
    </row>
    <row r="25" spans="1:13" ht="31.2" x14ac:dyDescent="0.3">
      <c r="A25" s="90">
        <v>45681</v>
      </c>
      <c r="B25" s="91" t="s">
        <v>38</v>
      </c>
      <c r="C25" s="86" t="s">
        <v>37</v>
      </c>
      <c r="D25" s="87"/>
      <c r="E25" s="88">
        <v>9600000</v>
      </c>
      <c r="F25" s="89">
        <f t="shared" si="0"/>
        <v>382279751</v>
      </c>
      <c r="G25" s="97">
        <v>45681</v>
      </c>
      <c r="H25" s="101" t="s">
        <v>88</v>
      </c>
      <c r="I25" s="100" t="s">
        <v>101</v>
      </c>
      <c r="J25" s="99">
        <v>9605963</v>
      </c>
      <c r="K25" s="99"/>
      <c r="L25" s="88">
        <f t="shared" si="1"/>
        <v>396791003</v>
      </c>
      <c r="M25" s="99"/>
    </row>
    <row r="26" spans="1:13" ht="15.6" x14ac:dyDescent="0.3">
      <c r="A26" s="90">
        <v>45678</v>
      </c>
      <c r="B26" s="91">
        <v>5129563</v>
      </c>
      <c r="C26" s="86" t="s">
        <v>39</v>
      </c>
      <c r="D26" s="87"/>
      <c r="E26" s="88">
        <v>3243000</v>
      </c>
      <c r="F26" s="89">
        <f t="shared" si="0"/>
        <v>379036751</v>
      </c>
      <c r="G26" s="97">
        <v>45681</v>
      </c>
      <c r="H26" s="101" t="s">
        <v>88</v>
      </c>
      <c r="I26" s="100" t="s">
        <v>101</v>
      </c>
      <c r="J26" s="99">
        <v>9605963</v>
      </c>
      <c r="K26" s="99"/>
      <c r="L26" s="88">
        <f t="shared" si="1"/>
        <v>387185040</v>
      </c>
      <c r="M26" s="99"/>
    </row>
    <row r="27" spans="1:13" ht="15.6" x14ac:dyDescent="0.3">
      <c r="A27" s="92">
        <v>45686</v>
      </c>
      <c r="B27" s="93">
        <v>5129568</v>
      </c>
      <c r="C27" s="94"/>
      <c r="D27" s="95"/>
      <c r="E27" s="96">
        <v>6999500</v>
      </c>
      <c r="F27" s="89">
        <f t="shared" si="0"/>
        <v>372037251</v>
      </c>
      <c r="G27" s="97">
        <v>45684</v>
      </c>
      <c r="H27" s="101">
        <v>5129563</v>
      </c>
      <c r="I27" s="100" t="s">
        <v>102</v>
      </c>
      <c r="J27" s="99">
        <v>3243000</v>
      </c>
      <c r="K27" s="99"/>
      <c r="L27" s="88">
        <f t="shared" si="1"/>
        <v>383942040</v>
      </c>
      <c r="M27" s="99"/>
    </row>
    <row r="28" spans="1:13" ht="15.6" x14ac:dyDescent="0.3">
      <c r="A28" s="90">
        <v>45685</v>
      </c>
      <c r="B28" s="91">
        <v>5129569</v>
      </c>
      <c r="C28" s="86" t="s">
        <v>40</v>
      </c>
      <c r="D28" s="87"/>
      <c r="E28" s="88">
        <v>888500</v>
      </c>
      <c r="F28" s="89">
        <f>F27+D28-E28</f>
        <v>371148751</v>
      </c>
      <c r="G28" s="97">
        <v>45686</v>
      </c>
      <c r="H28" s="101">
        <v>5129568</v>
      </c>
      <c r="I28" s="100" t="s">
        <v>103</v>
      </c>
      <c r="J28" s="99">
        <v>6999500</v>
      </c>
      <c r="K28" s="99"/>
      <c r="L28" s="88">
        <f t="shared" si="1"/>
        <v>376942540</v>
      </c>
      <c r="M28" s="99"/>
    </row>
    <row r="29" spans="1:13" ht="15.6" x14ac:dyDescent="0.3">
      <c r="A29" s="90"/>
      <c r="B29" s="91"/>
      <c r="C29" s="86"/>
      <c r="D29" s="87"/>
      <c r="E29" s="88"/>
      <c r="F29" s="89"/>
      <c r="G29" s="97">
        <v>45687</v>
      </c>
      <c r="H29" s="101">
        <v>5129569</v>
      </c>
      <c r="I29" s="100" t="s">
        <v>62</v>
      </c>
      <c r="J29" s="99">
        <v>888500</v>
      </c>
      <c r="K29" s="99"/>
      <c r="L29" s="88">
        <f t="shared" si="1"/>
        <v>376054040</v>
      </c>
      <c r="M29" s="99"/>
    </row>
    <row r="30" spans="1:13" ht="24.6" x14ac:dyDescent="0.4">
      <c r="A30" s="366" t="s">
        <v>50</v>
      </c>
      <c r="B30" s="381"/>
      <c r="C30" s="381"/>
      <c r="D30" s="381"/>
      <c r="E30" s="381"/>
      <c r="F30" s="381"/>
      <c r="G30" s="381"/>
      <c r="H30" s="381"/>
      <c r="I30" s="381"/>
      <c r="J30" s="381"/>
      <c r="K30" s="381"/>
      <c r="L30" s="381"/>
      <c r="M30" s="382"/>
    </row>
    <row r="31" spans="1:13" x14ac:dyDescent="0.3">
      <c r="A31" s="186">
        <v>45689</v>
      </c>
      <c r="B31" s="187" t="s">
        <v>208</v>
      </c>
      <c r="C31" s="188" t="s">
        <v>209</v>
      </c>
      <c r="D31" s="189">
        <f>F28</f>
        <v>371148751</v>
      </c>
      <c r="E31" s="189"/>
      <c r="F31" s="189">
        <f>D31-E31</f>
        <v>371148751</v>
      </c>
      <c r="G31" s="198">
        <v>45323</v>
      </c>
      <c r="H31" s="199" t="s">
        <v>6</v>
      </c>
      <c r="I31" s="200" t="s">
        <v>51</v>
      </c>
      <c r="J31" s="201"/>
      <c r="K31" s="201">
        <f>L29</f>
        <v>376054040</v>
      </c>
      <c r="L31" s="201">
        <f>K31-J31</f>
        <v>376054040</v>
      </c>
      <c r="M31" s="201"/>
    </row>
    <row r="32" spans="1:13" ht="28.2" x14ac:dyDescent="0.3">
      <c r="A32" s="186">
        <v>45691</v>
      </c>
      <c r="B32" s="187">
        <v>5129570</v>
      </c>
      <c r="C32" s="188" t="s">
        <v>210</v>
      </c>
      <c r="D32" s="189"/>
      <c r="E32" s="189">
        <v>3607000</v>
      </c>
      <c r="F32" s="189">
        <f>F31+D32-E32</f>
        <v>367541751</v>
      </c>
      <c r="G32" s="198">
        <v>45691</v>
      </c>
      <c r="H32" s="202">
        <v>5129570</v>
      </c>
      <c r="I32" s="203" t="s">
        <v>226</v>
      </c>
      <c r="J32" s="204">
        <v>3607000</v>
      </c>
      <c r="K32" s="201"/>
      <c r="L32" s="201">
        <f>L31-J32+K32</f>
        <v>372447040</v>
      </c>
      <c r="M32" s="201"/>
    </row>
    <row r="33" spans="1:13" ht="28.2" x14ac:dyDescent="0.3">
      <c r="A33" s="186">
        <v>45691</v>
      </c>
      <c r="B33" s="187">
        <v>5129571</v>
      </c>
      <c r="C33" s="188" t="s">
        <v>210</v>
      </c>
      <c r="D33" s="189"/>
      <c r="E33" s="189">
        <v>3607000</v>
      </c>
      <c r="F33" s="189">
        <f t="shared" ref="F33:F45" si="2">F32+D33-E33</f>
        <v>363934751</v>
      </c>
      <c r="G33" s="198">
        <v>45691</v>
      </c>
      <c r="H33" s="205">
        <v>5122671</v>
      </c>
      <c r="I33" s="206" t="s">
        <v>227</v>
      </c>
      <c r="J33" s="201">
        <v>3607000</v>
      </c>
      <c r="K33" s="201"/>
      <c r="L33" s="201">
        <f t="shared" ref="L33:L50" si="3">L32-J33+K33</f>
        <v>368840040</v>
      </c>
      <c r="M33" s="206"/>
    </row>
    <row r="34" spans="1:13" x14ac:dyDescent="0.3">
      <c r="A34" s="186">
        <v>45692</v>
      </c>
      <c r="B34" s="187" t="s">
        <v>223</v>
      </c>
      <c r="C34" s="188" t="s">
        <v>224</v>
      </c>
      <c r="D34" s="189">
        <v>385298</v>
      </c>
      <c r="E34" s="189"/>
      <c r="F34" s="189">
        <f t="shared" si="2"/>
        <v>364320049</v>
      </c>
      <c r="G34" s="198">
        <v>45692</v>
      </c>
      <c r="H34" s="202" t="s">
        <v>88</v>
      </c>
      <c r="I34" s="203" t="s">
        <v>228</v>
      </c>
      <c r="J34" s="204"/>
      <c r="K34" s="201">
        <v>385298</v>
      </c>
      <c r="L34" s="201">
        <f t="shared" si="3"/>
        <v>369225338</v>
      </c>
      <c r="M34" s="201"/>
    </row>
    <row r="35" spans="1:13" ht="28.2" x14ac:dyDescent="0.3">
      <c r="A35" s="186">
        <v>44962</v>
      </c>
      <c r="B35" s="187" t="s">
        <v>211</v>
      </c>
      <c r="C35" s="188" t="s">
        <v>212</v>
      </c>
      <c r="D35" s="189"/>
      <c r="E35" s="189">
        <v>500000</v>
      </c>
      <c r="F35" s="189">
        <f>F34+D35-E35</f>
        <v>363820049</v>
      </c>
      <c r="G35" s="198">
        <v>45693</v>
      </c>
      <c r="H35" s="202" t="s">
        <v>208</v>
      </c>
      <c r="I35" s="203" t="s">
        <v>94</v>
      </c>
      <c r="J35" s="204">
        <v>596</v>
      </c>
      <c r="K35" s="201"/>
      <c r="L35" s="201">
        <f t="shared" si="3"/>
        <v>369224742</v>
      </c>
      <c r="M35" s="206"/>
    </row>
    <row r="36" spans="1:13" ht="28.2" x14ac:dyDescent="0.3">
      <c r="A36" s="186">
        <v>45693</v>
      </c>
      <c r="B36" s="187" t="s">
        <v>213</v>
      </c>
      <c r="C36" s="188" t="s">
        <v>212</v>
      </c>
      <c r="D36" s="189"/>
      <c r="E36" s="189">
        <v>500000</v>
      </c>
      <c r="F36" s="189">
        <f t="shared" si="2"/>
        <v>363320049</v>
      </c>
      <c r="G36" s="198">
        <v>45694</v>
      </c>
      <c r="H36" s="202" t="s">
        <v>88</v>
      </c>
      <c r="I36" s="203" t="s">
        <v>229</v>
      </c>
      <c r="J36" s="204">
        <v>529813</v>
      </c>
      <c r="K36" s="201"/>
      <c r="L36" s="201">
        <f t="shared" si="3"/>
        <v>368694929</v>
      </c>
      <c r="M36" s="206"/>
    </row>
    <row r="37" spans="1:13" x14ac:dyDescent="0.3">
      <c r="A37" s="186">
        <v>45706</v>
      </c>
      <c r="B37" s="187" t="s">
        <v>214</v>
      </c>
      <c r="C37" s="188" t="s">
        <v>215</v>
      </c>
      <c r="D37" s="189"/>
      <c r="E37" s="189">
        <v>1100000</v>
      </c>
      <c r="F37" s="189">
        <f t="shared" si="2"/>
        <v>362220049</v>
      </c>
      <c r="G37" s="198" t="s">
        <v>230</v>
      </c>
      <c r="H37" s="202" t="s">
        <v>88</v>
      </c>
      <c r="I37" s="203" t="s">
        <v>231</v>
      </c>
      <c r="J37" s="204">
        <v>529813</v>
      </c>
      <c r="K37" s="201"/>
      <c r="L37" s="201">
        <f t="shared" si="3"/>
        <v>368165116</v>
      </c>
      <c r="M37" s="206"/>
    </row>
    <row r="38" spans="1:13" x14ac:dyDescent="0.3">
      <c r="A38" s="186">
        <v>45706</v>
      </c>
      <c r="B38" s="187">
        <v>5129573</v>
      </c>
      <c r="C38" s="188" t="s">
        <v>216</v>
      </c>
      <c r="D38" s="189"/>
      <c r="E38" s="189">
        <v>1805000</v>
      </c>
      <c r="F38" s="189">
        <f t="shared" si="2"/>
        <v>360415049</v>
      </c>
      <c r="G38" s="198">
        <v>45707</v>
      </c>
      <c r="H38" s="205" t="s">
        <v>88</v>
      </c>
      <c r="I38" s="206" t="s">
        <v>232</v>
      </c>
      <c r="J38" s="201">
        <v>1129813</v>
      </c>
      <c r="K38" s="201"/>
      <c r="L38" s="201">
        <f t="shared" si="3"/>
        <v>367035303</v>
      </c>
      <c r="M38" s="206"/>
    </row>
    <row r="39" spans="1:13" ht="28.2" x14ac:dyDescent="0.3">
      <c r="A39" s="186">
        <v>45678</v>
      </c>
      <c r="B39" s="187">
        <v>5129566</v>
      </c>
      <c r="C39" s="188" t="s">
        <v>217</v>
      </c>
      <c r="D39" s="189"/>
      <c r="E39" s="189">
        <v>33000</v>
      </c>
      <c r="F39" s="189">
        <f t="shared" si="2"/>
        <v>360382049</v>
      </c>
      <c r="G39" s="198">
        <v>45707</v>
      </c>
      <c r="H39" s="202">
        <v>5129573</v>
      </c>
      <c r="I39" s="203" t="s">
        <v>233</v>
      </c>
      <c r="J39" s="204">
        <v>1805000</v>
      </c>
      <c r="K39" s="201"/>
      <c r="L39" s="201">
        <f t="shared" si="3"/>
        <v>365230303</v>
      </c>
      <c r="M39" s="206"/>
    </row>
    <row r="40" spans="1:13" x14ac:dyDescent="0.3">
      <c r="A40" s="186">
        <v>45706</v>
      </c>
      <c r="B40" s="187" t="s">
        <v>214</v>
      </c>
      <c r="C40" s="188" t="s">
        <v>218</v>
      </c>
      <c r="D40" s="189"/>
      <c r="E40" s="189">
        <v>4040695</v>
      </c>
      <c r="F40" s="189">
        <f t="shared" si="2"/>
        <v>356341354</v>
      </c>
      <c r="G40" s="198">
        <v>45708</v>
      </c>
      <c r="H40" s="202">
        <v>5129566</v>
      </c>
      <c r="I40" s="203"/>
      <c r="J40" s="204">
        <v>33000</v>
      </c>
      <c r="K40" s="201"/>
      <c r="L40" s="201">
        <f t="shared" si="3"/>
        <v>365197303</v>
      </c>
      <c r="M40" s="206"/>
    </row>
    <row r="41" spans="1:13" x14ac:dyDescent="0.3">
      <c r="A41" s="186">
        <v>45692</v>
      </c>
      <c r="B41" s="187">
        <v>5129572</v>
      </c>
      <c r="C41" s="188" t="s">
        <v>219</v>
      </c>
      <c r="D41" s="189"/>
      <c r="E41" s="189">
        <v>3265000</v>
      </c>
      <c r="F41" s="189">
        <f t="shared" si="2"/>
        <v>353076354</v>
      </c>
      <c r="G41" s="198">
        <v>45708</v>
      </c>
      <c r="H41" s="202" t="s">
        <v>88</v>
      </c>
      <c r="I41" s="203" t="s">
        <v>234</v>
      </c>
      <c r="J41" s="204">
        <v>4040695</v>
      </c>
      <c r="K41" s="201"/>
      <c r="L41" s="201">
        <f t="shared" si="3"/>
        <v>361156608</v>
      </c>
      <c r="M41" s="206"/>
    </row>
    <row r="42" spans="1:13" ht="28.2" x14ac:dyDescent="0.3">
      <c r="A42" s="186">
        <v>45706</v>
      </c>
      <c r="B42" s="187">
        <v>5129574</v>
      </c>
      <c r="C42" s="188" t="s">
        <v>220</v>
      </c>
      <c r="D42" s="189"/>
      <c r="E42" s="189">
        <v>465000</v>
      </c>
      <c r="F42" s="189">
        <f t="shared" si="2"/>
        <v>352611354</v>
      </c>
      <c r="G42" s="198">
        <v>45708</v>
      </c>
      <c r="H42" s="202" t="s">
        <v>208</v>
      </c>
      <c r="I42" s="203" t="s">
        <v>235</v>
      </c>
      <c r="J42" s="204">
        <v>68388</v>
      </c>
      <c r="K42" s="201"/>
      <c r="L42" s="201">
        <f t="shared" si="3"/>
        <v>361088220</v>
      </c>
      <c r="M42" s="206"/>
    </row>
    <row r="43" spans="1:13" x14ac:dyDescent="0.3">
      <c r="A43" s="186">
        <v>45712</v>
      </c>
      <c r="B43" s="187">
        <v>5129575</v>
      </c>
      <c r="C43" s="188" t="s">
        <v>221</v>
      </c>
      <c r="D43" s="189"/>
      <c r="E43" s="189">
        <v>1214320</v>
      </c>
      <c r="F43" s="189">
        <f t="shared" si="2"/>
        <v>351397034</v>
      </c>
      <c r="G43" s="198">
        <v>45709</v>
      </c>
      <c r="H43" s="202" t="s">
        <v>208</v>
      </c>
      <c r="I43" s="203" t="s">
        <v>236</v>
      </c>
      <c r="J43" s="204">
        <v>8944</v>
      </c>
      <c r="K43" s="201"/>
      <c r="L43" s="201">
        <f t="shared" si="3"/>
        <v>361079276</v>
      </c>
      <c r="M43" s="206"/>
    </row>
    <row r="44" spans="1:13" x14ac:dyDescent="0.3">
      <c r="A44" s="186">
        <v>45712</v>
      </c>
      <c r="B44" s="187">
        <v>5129576</v>
      </c>
      <c r="C44" s="188" t="s">
        <v>222</v>
      </c>
      <c r="D44" s="189"/>
      <c r="E44" s="189">
        <v>73000</v>
      </c>
      <c r="F44" s="189">
        <f t="shared" si="2"/>
        <v>351324034</v>
      </c>
      <c r="G44" s="198">
        <v>45709</v>
      </c>
      <c r="H44" s="202" t="s">
        <v>208</v>
      </c>
      <c r="I44" s="203" t="s">
        <v>236</v>
      </c>
      <c r="J44" s="204">
        <v>8944</v>
      </c>
      <c r="K44" s="201"/>
      <c r="L44" s="201">
        <f t="shared" si="3"/>
        <v>361070332</v>
      </c>
      <c r="M44" s="206"/>
    </row>
    <row r="45" spans="1:13" x14ac:dyDescent="0.3">
      <c r="A45" s="186"/>
      <c r="B45" s="187"/>
      <c r="C45" s="188"/>
      <c r="D45" s="189"/>
      <c r="E45" s="189"/>
      <c r="F45" s="189">
        <f t="shared" si="2"/>
        <v>351324034</v>
      </c>
      <c r="G45" s="198">
        <v>45712</v>
      </c>
      <c r="H45" s="202">
        <v>5129572</v>
      </c>
      <c r="I45" s="203" t="s">
        <v>102</v>
      </c>
      <c r="J45" s="204">
        <v>3265000</v>
      </c>
      <c r="K45" s="201"/>
      <c r="L45" s="201">
        <f t="shared" si="3"/>
        <v>357805332</v>
      </c>
      <c r="M45" s="206"/>
    </row>
    <row r="46" spans="1:13" ht="15.6" x14ac:dyDescent="0.3">
      <c r="A46" s="198"/>
      <c r="B46" s="206"/>
      <c r="C46" s="223"/>
      <c r="D46" s="99"/>
      <c r="E46" s="207"/>
      <c r="F46" s="208"/>
      <c r="G46" s="198">
        <v>45712</v>
      </c>
      <c r="H46" s="202">
        <v>5129574</v>
      </c>
      <c r="I46" s="203" t="s">
        <v>65</v>
      </c>
      <c r="J46" s="204">
        <v>465000</v>
      </c>
      <c r="K46" s="201"/>
      <c r="L46" s="201">
        <f t="shared" si="3"/>
        <v>357340332</v>
      </c>
      <c r="M46" s="206"/>
    </row>
    <row r="47" spans="1:13" ht="15.6" x14ac:dyDescent="0.3">
      <c r="A47" s="198"/>
      <c r="B47" s="206"/>
      <c r="C47" s="223"/>
      <c r="D47" s="99"/>
      <c r="E47" s="207"/>
      <c r="F47" s="208"/>
      <c r="G47" s="198">
        <v>45712</v>
      </c>
      <c r="H47" s="202" t="s">
        <v>6</v>
      </c>
      <c r="I47" s="203" t="s">
        <v>237</v>
      </c>
      <c r="J47" s="204">
        <v>23418</v>
      </c>
      <c r="K47" s="201"/>
      <c r="L47" s="201">
        <f t="shared" si="3"/>
        <v>357316914</v>
      </c>
      <c r="M47" s="206"/>
    </row>
    <row r="48" spans="1:13" ht="15.6" x14ac:dyDescent="0.3">
      <c r="A48" s="198"/>
      <c r="B48" s="206"/>
      <c r="C48" s="223"/>
      <c r="D48" s="99"/>
      <c r="E48" s="207"/>
      <c r="F48" s="208"/>
      <c r="G48" s="198">
        <v>45713</v>
      </c>
      <c r="H48" s="209">
        <v>5129575</v>
      </c>
      <c r="I48" s="203" t="s">
        <v>238</v>
      </c>
      <c r="J48" s="204">
        <v>1214320</v>
      </c>
      <c r="K48" s="201"/>
      <c r="L48" s="201">
        <f t="shared" si="3"/>
        <v>356102594</v>
      </c>
      <c r="M48" s="206"/>
    </row>
    <row r="49" spans="1:13" ht="15.6" x14ac:dyDescent="0.3">
      <c r="A49" s="198"/>
      <c r="B49" s="206"/>
      <c r="C49" s="223"/>
      <c r="D49" s="99"/>
      <c r="E49" s="207"/>
      <c r="F49" s="208"/>
      <c r="G49" s="198">
        <v>45716</v>
      </c>
      <c r="H49" s="202">
        <v>5129576</v>
      </c>
      <c r="I49" s="203" t="s">
        <v>239</v>
      </c>
      <c r="J49" s="204">
        <v>73000</v>
      </c>
      <c r="K49" s="201"/>
      <c r="L49" s="201">
        <f t="shared" si="3"/>
        <v>356029594</v>
      </c>
      <c r="M49" s="206"/>
    </row>
    <row r="50" spans="1:13" ht="15.6" x14ac:dyDescent="0.3">
      <c r="A50" s="198"/>
      <c r="B50" s="206"/>
      <c r="C50" s="223"/>
      <c r="D50" s="99"/>
      <c r="E50" s="207"/>
      <c r="F50" s="208"/>
      <c r="G50" s="198"/>
      <c r="H50" s="202"/>
      <c r="I50" s="203"/>
      <c r="J50" s="204"/>
      <c r="K50" s="201"/>
      <c r="L50" s="201">
        <f t="shared" si="3"/>
        <v>356029594</v>
      </c>
      <c r="M50" s="206"/>
    </row>
    <row r="51" spans="1:13" ht="15.6" x14ac:dyDescent="0.3">
      <c r="A51" s="198"/>
      <c r="B51" s="206"/>
      <c r="C51" s="223"/>
      <c r="D51" s="99"/>
      <c r="E51" s="207"/>
      <c r="F51" s="208"/>
      <c r="G51" s="198"/>
      <c r="H51" s="202"/>
      <c r="I51" s="203"/>
      <c r="J51" s="204"/>
      <c r="K51" s="201"/>
      <c r="L51" s="201"/>
      <c r="M51" s="206"/>
    </row>
    <row r="52" spans="1:13" ht="15.6" x14ac:dyDescent="0.3">
      <c r="A52" s="198"/>
      <c r="B52" s="206"/>
      <c r="C52" s="223"/>
      <c r="D52" s="99"/>
      <c r="E52" s="207"/>
      <c r="F52" s="208"/>
      <c r="G52" s="198"/>
      <c r="H52" s="202"/>
      <c r="I52" s="203"/>
      <c r="J52" s="204"/>
      <c r="K52" s="201"/>
      <c r="L52" s="201"/>
      <c r="M52" s="206"/>
    </row>
    <row r="53" spans="1:13" ht="20.399999999999999" x14ac:dyDescent="0.35">
      <c r="A53" s="366" t="s">
        <v>54</v>
      </c>
      <c r="B53" s="367"/>
      <c r="C53" s="367"/>
      <c r="D53" s="367"/>
      <c r="E53" s="367"/>
      <c r="F53" s="367"/>
      <c r="G53" s="367"/>
      <c r="H53" s="367"/>
      <c r="I53" s="367"/>
      <c r="J53" s="367"/>
      <c r="K53" s="367"/>
      <c r="L53" s="367"/>
      <c r="M53" s="368"/>
    </row>
    <row r="54" spans="1:13" ht="15.6" x14ac:dyDescent="0.3">
      <c r="A54" s="198"/>
      <c r="B54" s="206"/>
      <c r="C54" s="223"/>
      <c r="D54" s="99">
        <v>154702694</v>
      </c>
      <c r="E54" s="207"/>
      <c r="F54" s="208">
        <f>D54-E54</f>
        <v>154702694</v>
      </c>
      <c r="G54" s="198">
        <v>45352</v>
      </c>
      <c r="H54" s="199" t="s">
        <v>6</v>
      </c>
      <c r="I54" s="200" t="s">
        <v>55</v>
      </c>
      <c r="J54" s="201"/>
      <c r="K54" s="201">
        <v>351029594</v>
      </c>
      <c r="L54" s="201">
        <f>K54-J54</f>
        <v>351029594</v>
      </c>
      <c r="M54" s="206"/>
    </row>
    <row r="55" spans="1:13" ht="15.6" x14ac:dyDescent="0.3">
      <c r="A55" s="198"/>
      <c r="B55" s="203"/>
      <c r="C55" s="224"/>
      <c r="D55" s="210"/>
      <c r="E55" s="211"/>
      <c r="F55" s="208"/>
      <c r="G55" s="198">
        <v>45719</v>
      </c>
      <c r="H55" s="217">
        <v>5129578</v>
      </c>
      <c r="I55" s="218" t="s">
        <v>246</v>
      </c>
      <c r="J55" s="219">
        <v>10033300</v>
      </c>
      <c r="K55" s="201"/>
      <c r="L55" s="201">
        <f>L54-J55+K55</f>
        <v>340996294</v>
      </c>
      <c r="M55" s="206"/>
    </row>
    <row r="56" spans="1:13" ht="15.6" x14ac:dyDescent="0.3">
      <c r="A56" s="198">
        <v>45714</v>
      </c>
      <c r="B56" s="203">
        <v>5129579</v>
      </c>
      <c r="C56" s="225" t="s">
        <v>261</v>
      </c>
      <c r="D56" s="215"/>
      <c r="E56" s="215">
        <v>4990600</v>
      </c>
      <c r="F56" s="208"/>
      <c r="G56" s="198">
        <v>45719</v>
      </c>
      <c r="H56" s="212">
        <v>5129579</v>
      </c>
      <c r="I56" s="213" t="s">
        <v>247</v>
      </c>
      <c r="J56" s="214">
        <v>4990600</v>
      </c>
      <c r="K56" s="201"/>
      <c r="L56" s="201">
        <f t="shared" ref="L56:L88" si="4">L55-J56+K56</f>
        <v>336005694</v>
      </c>
      <c r="M56" s="201"/>
    </row>
    <row r="57" spans="1:13" ht="15.6" x14ac:dyDescent="0.3">
      <c r="A57" s="198">
        <v>45716</v>
      </c>
      <c r="B57" s="202"/>
      <c r="C57" s="226"/>
      <c r="D57" s="201"/>
      <c r="E57" s="204"/>
      <c r="F57" s="208"/>
      <c r="G57" s="198">
        <v>45719</v>
      </c>
      <c r="H57" s="212" t="s">
        <v>6</v>
      </c>
      <c r="I57" s="213" t="s">
        <v>248</v>
      </c>
      <c r="J57" s="214">
        <v>11925</v>
      </c>
      <c r="K57" s="201"/>
      <c r="L57" s="201">
        <f t="shared" si="4"/>
        <v>335993769</v>
      </c>
      <c r="M57" s="206"/>
    </row>
    <row r="58" spans="1:13" ht="28.2" x14ac:dyDescent="0.3">
      <c r="A58" s="198">
        <v>45719</v>
      </c>
      <c r="B58" s="202">
        <v>5129584</v>
      </c>
      <c r="C58" s="226" t="s">
        <v>290</v>
      </c>
      <c r="D58" s="201"/>
      <c r="E58" s="204"/>
      <c r="F58" s="208"/>
      <c r="G58" s="242">
        <v>45721</v>
      </c>
      <c r="H58" s="243">
        <v>5129584</v>
      </c>
      <c r="I58" s="244" t="s">
        <v>249</v>
      </c>
      <c r="J58" s="245">
        <v>1387000</v>
      </c>
      <c r="K58" s="201"/>
      <c r="L58" s="201"/>
      <c r="M58" s="206"/>
    </row>
    <row r="59" spans="1:13" ht="28.2" x14ac:dyDescent="0.3">
      <c r="A59" s="198">
        <v>45722</v>
      </c>
      <c r="B59" s="202">
        <v>5129580</v>
      </c>
      <c r="C59" s="226" t="s">
        <v>262</v>
      </c>
      <c r="D59" s="201"/>
      <c r="E59" s="204">
        <v>850000</v>
      </c>
      <c r="F59" s="208"/>
      <c r="G59" s="198">
        <v>45721</v>
      </c>
      <c r="H59" s="212">
        <v>5129580</v>
      </c>
      <c r="I59" s="213" t="s">
        <v>250</v>
      </c>
      <c r="J59" s="214">
        <v>850000</v>
      </c>
      <c r="K59" s="201"/>
      <c r="L59" s="201">
        <f>L57-J59+K59</f>
        <v>335143769</v>
      </c>
      <c r="M59" s="206"/>
    </row>
    <row r="60" spans="1:13" ht="31.2" x14ac:dyDescent="0.3">
      <c r="A60" s="198">
        <v>45722</v>
      </c>
      <c r="B60" s="206" t="s">
        <v>263</v>
      </c>
      <c r="C60" s="223" t="s">
        <v>264</v>
      </c>
      <c r="D60" s="99"/>
      <c r="E60" s="216">
        <v>631950</v>
      </c>
      <c r="F60" s="208"/>
      <c r="G60" s="198">
        <v>45721</v>
      </c>
      <c r="H60" s="212" t="s">
        <v>88</v>
      </c>
      <c r="I60" s="213" t="s">
        <v>99</v>
      </c>
      <c r="J60" s="214">
        <v>661763</v>
      </c>
      <c r="K60" s="201"/>
      <c r="L60" s="201">
        <f t="shared" si="4"/>
        <v>334482006</v>
      </c>
      <c r="M60" s="206"/>
    </row>
    <row r="61" spans="1:13" ht="15.6" x14ac:dyDescent="0.3">
      <c r="A61" s="198">
        <v>45723</v>
      </c>
      <c r="B61" s="212" t="s">
        <v>88</v>
      </c>
      <c r="C61" s="213" t="s">
        <v>224</v>
      </c>
      <c r="D61" s="214">
        <v>385298</v>
      </c>
      <c r="E61" s="214"/>
      <c r="F61" s="208"/>
      <c r="G61" s="198">
        <v>45723</v>
      </c>
      <c r="H61" s="212" t="s">
        <v>88</v>
      </c>
      <c r="I61" s="213" t="s">
        <v>224</v>
      </c>
      <c r="J61" s="214"/>
      <c r="K61" s="214">
        <v>385298</v>
      </c>
      <c r="L61" s="201">
        <f t="shared" si="4"/>
        <v>334867304</v>
      </c>
      <c r="M61" s="206"/>
    </row>
    <row r="62" spans="1:13" ht="15.6" x14ac:dyDescent="0.3">
      <c r="A62" s="198">
        <v>45723</v>
      </c>
      <c r="B62" s="212" t="s">
        <v>88</v>
      </c>
      <c r="C62" s="213" t="s">
        <v>224</v>
      </c>
      <c r="D62" s="214">
        <v>143614</v>
      </c>
      <c r="E62" s="214"/>
      <c r="F62" s="208"/>
      <c r="G62" s="198">
        <v>45723</v>
      </c>
      <c r="H62" s="212" t="s">
        <v>88</v>
      </c>
      <c r="I62" s="213" t="s">
        <v>224</v>
      </c>
      <c r="J62" s="214"/>
      <c r="K62" s="214">
        <v>143614</v>
      </c>
      <c r="L62" s="201">
        <f t="shared" si="4"/>
        <v>335010918</v>
      </c>
      <c r="M62" s="206"/>
    </row>
    <row r="63" spans="1:13" ht="15.6" x14ac:dyDescent="0.3">
      <c r="A63" s="198">
        <v>45723</v>
      </c>
      <c r="B63" s="212" t="s">
        <v>88</v>
      </c>
      <c r="C63" s="213" t="s">
        <v>224</v>
      </c>
      <c r="D63" s="214">
        <v>143614</v>
      </c>
      <c r="E63" s="214"/>
      <c r="F63" s="208"/>
      <c r="G63" s="198">
        <v>45723</v>
      </c>
      <c r="H63" s="212" t="s">
        <v>88</v>
      </c>
      <c r="I63" s="213" t="s">
        <v>224</v>
      </c>
      <c r="J63" s="214"/>
      <c r="K63" s="214">
        <v>143614</v>
      </c>
      <c r="L63" s="201">
        <f t="shared" si="4"/>
        <v>335154532</v>
      </c>
      <c r="M63" s="206"/>
    </row>
    <row r="64" spans="1:13" ht="15.6" x14ac:dyDescent="0.3">
      <c r="A64" s="198"/>
      <c r="B64" s="206"/>
      <c r="C64" s="223"/>
      <c r="D64" s="99"/>
      <c r="E64" s="216"/>
      <c r="F64" s="208"/>
      <c r="G64" s="198">
        <v>45723</v>
      </c>
      <c r="H64" s="212" t="s">
        <v>88</v>
      </c>
      <c r="I64" s="213" t="s">
        <v>251</v>
      </c>
      <c r="J64" s="214">
        <v>2251789</v>
      </c>
      <c r="K64" s="201"/>
      <c r="L64" s="201">
        <f t="shared" si="4"/>
        <v>332902743</v>
      </c>
      <c r="M64" s="206"/>
    </row>
    <row r="65" spans="1:13" ht="46.8" x14ac:dyDescent="0.3">
      <c r="A65" s="198"/>
      <c r="B65" s="206" t="s">
        <v>265</v>
      </c>
      <c r="C65" s="223" t="s">
        <v>266</v>
      </c>
      <c r="D65" s="99"/>
      <c r="E65" s="216">
        <v>2250000</v>
      </c>
      <c r="F65" s="208"/>
      <c r="G65" s="198">
        <v>45726</v>
      </c>
      <c r="H65" s="212">
        <v>5129592</v>
      </c>
      <c r="I65" s="213" t="s">
        <v>62</v>
      </c>
      <c r="J65" s="214">
        <v>709000</v>
      </c>
      <c r="K65" s="201"/>
      <c r="L65" s="201">
        <f t="shared" si="4"/>
        <v>332193743</v>
      </c>
      <c r="M65" s="206"/>
    </row>
    <row r="66" spans="1:13" ht="31.2" x14ac:dyDescent="0.3">
      <c r="A66" s="198">
        <v>45721</v>
      </c>
      <c r="B66" s="206">
        <v>5129592</v>
      </c>
      <c r="C66" s="223" t="s">
        <v>267</v>
      </c>
      <c r="D66" s="99"/>
      <c r="E66" s="216">
        <v>709000</v>
      </c>
      <c r="F66" s="208"/>
      <c r="G66" s="198">
        <v>45726</v>
      </c>
      <c r="H66" s="212">
        <v>5129590</v>
      </c>
      <c r="I66" s="213" t="s">
        <v>62</v>
      </c>
      <c r="J66" s="214">
        <v>989750</v>
      </c>
      <c r="K66" s="201"/>
      <c r="L66" s="201">
        <f t="shared" si="4"/>
        <v>331203993</v>
      </c>
      <c r="M66" s="206"/>
    </row>
    <row r="67" spans="1:13" ht="15.6" x14ac:dyDescent="0.3">
      <c r="A67" s="198">
        <v>45721</v>
      </c>
      <c r="B67" s="206">
        <v>5129590</v>
      </c>
      <c r="C67" s="223" t="s">
        <v>268</v>
      </c>
      <c r="D67" s="99"/>
      <c r="E67" s="216">
        <v>987500</v>
      </c>
      <c r="F67" s="208"/>
      <c r="G67" s="198">
        <v>45726</v>
      </c>
      <c r="H67" s="212">
        <v>5129591</v>
      </c>
      <c r="I67" s="213" t="s">
        <v>62</v>
      </c>
      <c r="J67" s="214">
        <v>989750</v>
      </c>
      <c r="K67" s="201"/>
      <c r="L67" s="201">
        <f t="shared" si="4"/>
        <v>330214243</v>
      </c>
      <c r="M67" s="206"/>
    </row>
    <row r="68" spans="1:13" ht="15.6" x14ac:dyDescent="0.3">
      <c r="A68" s="198">
        <v>45721</v>
      </c>
      <c r="B68" s="206">
        <v>5129591</v>
      </c>
      <c r="C68" s="223" t="s">
        <v>269</v>
      </c>
      <c r="D68" s="99"/>
      <c r="E68" s="216">
        <v>987500</v>
      </c>
      <c r="F68" s="208"/>
      <c r="G68" s="198">
        <v>45726</v>
      </c>
      <c r="H68" s="212">
        <v>5129595</v>
      </c>
      <c r="I68" s="213" t="s">
        <v>53</v>
      </c>
      <c r="J68" s="214">
        <v>719500</v>
      </c>
      <c r="K68" s="201"/>
      <c r="L68" s="201">
        <f t="shared" si="4"/>
        <v>329494743</v>
      </c>
      <c r="M68" s="206"/>
    </row>
    <row r="69" spans="1:13" ht="15.6" x14ac:dyDescent="0.3">
      <c r="A69" s="198">
        <v>45723</v>
      </c>
      <c r="B69" s="206">
        <v>5129595</v>
      </c>
      <c r="C69" s="223" t="s">
        <v>270</v>
      </c>
      <c r="D69" s="99"/>
      <c r="E69" s="216">
        <v>719500</v>
      </c>
      <c r="F69" s="208"/>
      <c r="G69" s="198">
        <v>45726</v>
      </c>
      <c r="H69" s="212" t="s">
        <v>6</v>
      </c>
      <c r="I69" s="213" t="s">
        <v>252</v>
      </c>
      <c r="J69" s="214">
        <v>6500</v>
      </c>
      <c r="K69" s="201"/>
      <c r="L69" s="201">
        <f t="shared" si="4"/>
        <v>329488243</v>
      </c>
      <c r="M69" s="206"/>
    </row>
    <row r="70" spans="1:13" ht="31.2" x14ac:dyDescent="0.3">
      <c r="A70" s="198">
        <v>45726</v>
      </c>
      <c r="B70" s="206" t="s">
        <v>271</v>
      </c>
      <c r="C70" s="223" t="s">
        <v>272</v>
      </c>
      <c r="D70" s="99"/>
      <c r="E70" s="216">
        <v>18500000</v>
      </c>
      <c r="F70" s="208"/>
      <c r="G70" s="198">
        <v>45726</v>
      </c>
      <c r="H70" s="212" t="s">
        <v>88</v>
      </c>
      <c r="I70" s="213" t="s">
        <v>253</v>
      </c>
      <c r="J70" s="214">
        <v>18505963</v>
      </c>
      <c r="K70" s="201"/>
      <c r="L70" s="201">
        <f t="shared" si="4"/>
        <v>310982280</v>
      </c>
      <c r="M70" s="206"/>
    </row>
    <row r="71" spans="1:13" ht="15.6" x14ac:dyDescent="0.3">
      <c r="A71" s="198">
        <v>45726</v>
      </c>
      <c r="B71" s="206" t="s">
        <v>271</v>
      </c>
      <c r="C71" s="223" t="s">
        <v>273</v>
      </c>
      <c r="D71" s="99"/>
      <c r="E71" s="216">
        <v>49200000</v>
      </c>
      <c r="F71" s="208"/>
      <c r="G71" s="198">
        <v>45727</v>
      </c>
      <c r="H71" s="212" t="s">
        <v>88</v>
      </c>
      <c r="I71" s="213" t="s">
        <v>254</v>
      </c>
      <c r="J71" s="214">
        <v>49205963</v>
      </c>
      <c r="K71" s="201"/>
      <c r="L71" s="201">
        <f t="shared" si="4"/>
        <v>261776317</v>
      </c>
      <c r="M71" s="206"/>
    </row>
    <row r="72" spans="1:13" ht="15.6" x14ac:dyDescent="0.3">
      <c r="A72" s="198">
        <v>45726</v>
      </c>
      <c r="B72" s="206" t="s">
        <v>271</v>
      </c>
      <c r="C72" s="223" t="s">
        <v>273</v>
      </c>
      <c r="D72" s="99"/>
      <c r="E72" s="216">
        <v>46800000</v>
      </c>
      <c r="F72" s="208"/>
      <c r="G72" s="198">
        <v>45727</v>
      </c>
      <c r="H72" s="212" t="s">
        <v>88</v>
      </c>
      <c r="I72" s="213" t="s">
        <v>254</v>
      </c>
      <c r="J72" s="214">
        <v>46805963</v>
      </c>
      <c r="K72" s="201"/>
      <c r="L72" s="201">
        <f t="shared" si="4"/>
        <v>214970354</v>
      </c>
      <c r="M72" s="206"/>
    </row>
    <row r="73" spans="1:13" ht="31.2" x14ac:dyDescent="0.3">
      <c r="A73" s="198">
        <v>45721</v>
      </c>
      <c r="B73" s="206">
        <v>5129587</v>
      </c>
      <c r="C73" s="223" t="s">
        <v>274</v>
      </c>
      <c r="D73" s="99"/>
      <c r="E73" s="216">
        <v>2184500</v>
      </c>
      <c r="F73" s="208"/>
      <c r="G73" s="198">
        <v>45727</v>
      </c>
      <c r="H73" s="212">
        <v>5129587</v>
      </c>
      <c r="I73" s="213" t="s">
        <v>62</v>
      </c>
      <c r="J73" s="214">
        <v>2184500</v>
      </c>
      <c r="K73" s="201"/>
      <c r="L73" s="201">
        <f t="shared" si="4"/>
        <v>212785854</v>
      </c>
      <c r="M73" s="206"/>
    </row>
    <row r="74" spans="1:13" ht="15.6" x14ac:dyDescent="0.3">
      <c r="A74" s="198">
        <v>45712</v>
      </c>
      <c r="B74" s="206">
        <v>5129577</v>
      </c>
      <c r="C74" s="223" t="s">
        <v>275</v>
      </c>
      <c r="D74" s="99"/>
      <c r="E74" s="216">
        <v>375000</v>
      </c>
      <c r="F74" s="208"/>
      <c r="G74" s="198">
        <v>45729</v>
      </c>
      <c r="H74" s="212" t="s">
        <v>255</v>
      </c>
      <c r="I74" s="213" t="s">
        <v>256</v>
      </c>
      <c r="J74" s="214">
        <v>375000</v>
      </c>
      <c r="K74" s="201"/>
      <c r="L74" s="201">
        <f t="shared" si="4"/>
        <v>212410854</v>
      </c>
      <c r="M74" s="206"/>
    </row>
    <row r="75" spans="1:13" ht="31.2" x14ac:dyDescent="0.3">
      <c r="A75" s="198">
        <v>45729</v>
      </c>
      <c r="B75" s="206">
        <v>5129596</v>
      </c>
      <c r="C75" s="223" t="s">
        <v>276</v>
      </c>
      <c r="D75" s="99"/>
      <c r="E75" s="216">
        <v>522500</v>
      </c>
      <c r="F75" s="208"/>
      <c r="G75" s="198">
        <v>45729</v>
      </c>
      <c r="H75" s="212">
        <v>5129596</v>
      </c>
      <c r="I75" s="213" t="s">
        <v>257</v>
      </c>
      <c r="J75" s="214">
        <v>525000</v>
      </c>
      <c r="K75" s="201"/>
      <c r="L75" s="201">
        <f t="shared" si="4"/>
        <v>211885854</v>
      </c>
      <c r="M75" s="206"/>
    </row>
    <row r="76" spans="1:13" ht="31.2" x14ac:dyDescent="0.3">
      <c r="A76" s="198">
        <v>45719</v>
      </c>
      <c r="B76" s="206">
        <v>5129583</v>
      </c>
      <c r="C76" s="223" t="s">
        <v>277</v>
      </c>
      <c r="D76" s="99"/>
      <c r="E76" s="216">
        <v>3244000</v>
      </c>
      <c r="F76" s="208"/>
      <c r="G76" s="198">
        <v>45730</v>
      </c>
      <c r="H76" s="212">
        <v>512583</v>
      </c>
      <c r="I76" s="213" t="s">
        <v>258</v>
      </c>
      <c r="J76" s="214">
        <v>3244000</v>
      </c>
      <c r="K76" s="201"/>
      <c r="L76" s="201">
        <f t="shared" si="4"/>
        <v>208641854</v>
      </c>
      <c r="M76" s="206"/>
    </row>
    <row r="77" spans="1:13" ht="15.6" x14ac:dyDescent="0.3">
      <c r="A77" s="198">
        <v>45723</v>
      </c>
      <c r="B77" s="206">
        <v>5129594</v>
      </c>
      <c r="C77" s="223" t="s">
        <v>278</v>
      </c>
      <c r="D77" s="99"/>
      <c r="E77" s="216">
        <v>3741000</v>
      </c>
      <c r="F77" s="208"/>
      <c r="G77" s="198">
        <v>45733</v>
      </c>
      <c r="H77" s="212">
        <v>5129594</v>
      </c>
      <c r="I77" s="213" t="s">
        <v>102</v>
      </c>
      <c r="J77" s="214">
        <v>3741000</v>
      </c>
      <c r="K77" s="201"/>
      <c r="L77" s="201">
        <f t="shared" si="4"/>
        <v>204900854</v>
      </c>
      <c r="M77" s="206"/>
    </row>
    <row r="78" spans="1:13" ht="15.6" x14ac:dyDescent="0.3">
      <c r="A78" s="198">
        <v>45733</v>
      </c>
      <c r="B78" s="206" t="s">
        <v>271</v>
      </c>
      <c r="C78" s="223" t="s">
        <v>279</v>
      </c>
      <c r="D78" s="99"/>
      <c r="E78" s="216">
        <v>4997500</v>
      </c>
      <c r="F78" s="208"/>
      <c r="G78" s="198">
        <v>45886</v>
      </c>
      <c r="H78" s="220">
        <v>5129586</v>
      </c>
      <c r="I78" s="221" t="s">
        <v>246</v>
      </c>
      <c r="J78" s="222">
        <v>1824000</v>
      </c>
      <c r="K78" s="201"/>
      <c r="L78" s="201">
        <f t="shared" si="4"/>
        <v>203076854</v>
      </c>
      <c r="M78" s="206"/>
    </row>
    <row r="79" spans="1:13" ht="15.6" x14ac:dyDescent="0.3">
      <c r="A79" s="198">
        <v>45733</v>
      </c>
      <c r="B79" s="206" t="s">
        <v>280</v>
      </c>
      <c r="C79" s="223" t="s">
        <v>281</v>
      </c>
      <c r="D79" s="99"/>
      <c r="E79" s="216">
        <v>900000</v>
      </c>
      <c r="F79" s="208"/>
      <c r="G79" s="198">
        <v>45733</v>
      </c>
      <c r="H79" s="212" t="s">
        <v>88</v>
      </c>
      <c r="I79" s="213" t="s">
        <v>52</v>
      </c>
      <c r="J79" s="214">
        <v>5003463</v>
      </c>
      <c r="K79" s="201"/>
      <c r="L79" s="201">
        <f t="shared" si="4"/>
        <v>198073391</v>
      </c>
      <c r="M79" s="206"/>
    </row>
    <row r="80" spans="1:13" ht="15.6" x14ac:dyDescent="0.3">
      <c r="A80" s="198">
        <v>45733</v>
      </c>
      <c r="B80" s="206" t="s">
        <v>282</v>
      </c>
      <c r="C80" s="223" t="s">
        <v>283</v>
      </c>
      <c r="D80" s="99"/>
      <c r="E80" s="216">
        <v>783500</v>
      </c>
      <c r="F80" s="208"/>
      <c r="G80" s="198">
        <v>45735</v>
      </c>
      <c r="H80" s="212" t="s">
        <v>88</v>
      </c>
      <c r="I80" s="213" t="s">
        <v>259</v>
      </c>
      <c r="J80" s="214">
        <v>929813</v>
      </c>
      <c r="K80" s="201"/>
      <c r="L80" s="201">
        <f t="shared" si="4"/>
        <v>197143578</v>
      </c>
      <c r="M80" s="206"/>
    </row>
    <row r="81" spans="1:13" ht="15.6" x14ac:dyDescent="0.3">
      <c r="A81" s="198">
        <v>45733</v>
      </c>
      <c r="B81" s="206" t="s">
        <v>284</v>
      </c>
      <c r="C81" s="223" t="s">
        <v>285</v>
      </c>
      <c r="D81" s="99"/>
      <c r="E81" s="216">
        <v>741000</v>
      </c>
      <c r="F81" s="208"/>
      <c r="G81" s="198">
        <v>45735</v>
      </c>
      <c r="H81" s="212" t="s">
        <v>88</v>
      </c>
      <c r="I81" s="213" t="s">
        <v>260</v>
      </c>
      <c r="J81" s="214">
        <v>813313</v>
      </c>
      <c r="K81" s="201"/>
      <c r="L81" s="201">
        <f t="shared" si="4"/>
        <v>196330265</v>
      </c>
      <c r="M81" s="206"/>
    </row>
    <row r="82" spans="1:13" ht="15.6" x14ac:dyDescent="0.3">
      <c r="A82" s="198">
        <v>45736</v>
      </c>
      <c r="B82" s="212" t="s">
        <v>88</v>
      </c>
      <c r="C82" s="213" t="s">
        <v>224</v>
      </c>
      <c r="D82" s="189">
        <v>143614</v>
      </c>
      <c r="E82" s="201"/>
      <c r="F82" s="208"/>
      <c r="G82" s="198">
        <v>45735</v>
      </c>
      <c r="H82" s="212" t="s">
        <v>88</v>
      </c>
      <c r="I82" s="213" t="s">
        <v>260</v>
      </c>
      <c r="J82" s="214">
        <v>770813</v>
      </c>
      <c r="K82" s="201"/>
      <c r="L82" s="201">
        <f t="shared" si="4"/>
        <v>195559452</v>
      </c>
      <c r="M82" s="206"/>
    </row>
    <row r="83" spans="1:13" ht="15.6" x14ac:dyDescent="0.3">
      <c r="A83" s="198">
        <v>45736</v>
      </c>
      <c r="B83" s="212" t="s">
        <v>88</v>
      </c>
      <c r="C83" s="213" t="s">
        <v>224</v>
      </c>
      <c r="D83" s="189">
        <v>143614</v>
      </c>
      <c r="E83" s="201"/>
      <c r="F83" s="208"/>
      <c r="G83" s="198">
        <v>45735</v>
      </c>
      <c r="H83" s="212" t="s">
        <v>88</v>
      </c>
      <c r="I83" s="213" t="s">
        <v>224</v>
      </c>
      <c r="J83" s="214"/>
      <c r="K83" s="201">
        <v>143614</v>
      </c>
      <c r="L83" s="201">
        <f t="shared" si="4"/>
        <v>195703066</v>
      </c>
      <c r="M83" s="206"/>
    </row>
    <row r="84" spans="1:13" ht="15.6" x14ac:dyDescent="0.3">
      <c r="A84" s="198">
        <v>45736</v>
      </c>
      <c r="B84" s="212" t="s">
        <v>88</v>
      </c>
      <c r="C84" s="213" t="s">
        <v>224</v>
      </c>
      <c r="D84" s="189">
        <v>394605</v>
      </c>
      <c r="E84" s="201"/>
      <c r="F84" s="208"/>
      <c r="G84" s="198">
        <v>45736</v>
      </c>
      <c r="H84" s="212" t="s">
        <v>88</v>
      </c>
      <c r="I84" s="213" t="s">
        <v>224</v>
      </c>
      <c r="J84" s="219"/>
      <c r="K84" s="201">
        <v>143614</v>
      </c>
      <c r="L84" s="201">
        <f t="shared" si="4"/>
        <v>195846680</v>
      </c>
      <c r="M84" s="206"/>
    </row>
    <row r="85" spans="1:13" ht="15.6" x14ac:dyDescent="0.3">
      <c r="A85" s="198"/>
      <c r="B85" s="206"/>
      <c r="C85" s="223"/>
      <c r="D85" s="99"/>
      <c r="E85" s="216"/>
      <c r="F85" s="208"/>
      <c r="G85" s="198">
        <v>45736</v>
      </c>
      <c r="H85" s="212" t="s">
        <v>88</v>
      </c>
      <c r="I85" s="213" t="s">
        <v>224</v>
      </c>
      <c r="J85" s="219"/>
      <c r="K85" s="201">
        <v>394605</v>
      </c>
      <c r="L85" s="201">
        <f t="shared" si="4"/>
        <v>196241285</v>
      </c>
      <c r="M85" s="206"/>
    </row>
    <row r="86" spans="1:13" ht="15.6" x14ac:dyDescent="0.3">
      <c r="A86" s="198"/>
      <c r="B86" s="206"/>
      <c r="C86" s="223"/>
      <c r="D86" s="99"/>
      <c r="E86" s="216"/>
      <c r="F86" s="208"/>
      <c r="G86" s="198">
        <v>45736</v>
      </c>
      <c r="H86" s="217" t="s">
        <v>208</v>
      </c>
      <c r="I86" s="218" t="s">
        <v>236</v>
      </c>
      <c r="J86" s="219">
        <v>8944</v>
      </c>
      <c r="K86" s="201"/>
      <c r="L86" s="201">
        <f t="shared" si="4"/>
        <v>196232341</v>
      </c>
      <c r="M86" s="206"/>
    </row>
    <row r="87" spans="1:13" ht="15.6" x14ac:dyDescent="0.3">
      <c r="A87" s="198"/>
      <c r="B87" s="206"/>
      <c r="C87" s="223"/>
      <c r="D87" s="99"/>
      <c r="E87" s="216"/>
      <c r="F87" s="208"/>
      <c r="G87" s="198">
        <v>45737</v>
      </c>
      <c r="H87" s="217" t="s">
        <v>208</v>
      </c>
      <c r="I87" s="218" t="s">
        <v>236</v>
      </c>
      <c r="J87" s="219">
        <v>8944</v>
      </c>
      <c r="K87" s="201"/>
      <c r="L87" s="201">
        <f t="shared" si="4"/>
        <v>196223397</v>
      </c>
      <c r="M87" s="206"/>
    </row>
    <row r="88" spans="1:13" ht="15.6" x14ac:dyDescent="0.3">
      <c r="A88" s="198"/>
      <c r="B88" s="206"/>
      <c r="C88" s="223"/>
      <c r="D88" s="99"/>
      <c r="E88" s="216"/>
      <c r="F88" s="208"/>
      <c r="G88" s="198"/>
      <c r="H88" s="217"/>
      <c r="I88" s="218"/>
      <c r="J88" s="219"/>
      <c r="K88" s="201"/>
      <c r="L88" s="201">
        <f t="shared" si="4"/>
        <v>196223397</v>
      </c>
      <c r="M88" s="206"/>
    </row>
    <row r="89" spans="1:13" ht="21" x14ac:dyDescent="0.4">
      <c r="A89" s="369" t="s">
        <v>56</v>
      </c>
      <c r="B89" s="370"/>
      <c r="C89" s="370"/>
      <c r="D89" s="370"/>
      <c r="E89" s="370"/>
      <c r="F89" s="370"/>
      <c r="G89" s="370"/>
      <c r="H89" s="370"/>
      <c r="I89" s="370"/>
      <c r="J89" s="370"/>
      <c r="K89" s="370"/>
      <c r="L89" s="370"/>
      <c r="M89" s="371"/>
    </row>
    <row r="90" spans="1:13" ht="15.6" x14ac:dyDescent="0.3">
      <c r="A90" s="2"/>
      <c r="B90" s="1"/>
      <c r="C90" s="227"/>
      <c r="D90" s="48">
        <v>114998672</v>
      </c>
      <c r="E90" s="57"/>
      <c r="F90" s="40">
        <f>D90-E90</f>
        <v>114998672</v>
      </c>
      <c r="G90" s="2">
        <v>45383</v>
      </c>
      <c r="H90" s="38" t="s">
        <v>6</v>
      </c>
      <c r="I90" s="39" t="s">
        <v>57</v>
      </c>
      <c r="J90" s="3"/>
      <c r="K90" s="3">
        <v>114552791</v>
      </c>
      <c r="L90" s="3">
        <f>K90-J90</f>
        <v>114552791</v>
      </c>
      <c r="M90" s="1"/>
    </row>
    <row r="91" spans="1:13" ht="15.6" x14ac:dyDescent="0.3">
      <c r="A91" s="2"/>
      <c r="B91" s="42"/>
      <c r="C91" s="228"/>
      <c r="D91" s="56"/>
      <c r="E91" s="56"/>
      <c r="F91" s="40"/>
      <c r="G91" s="2"/>
      <c r="H91" s="41"/>
      <c r="I91" s="42"/>
      <c r="J91" s="43"/>
      <c r="K91" s="3"/>
      <c r="L91" s="3"/>
      <c r="M91" s="1"/>
    </row>
    <row r="92" spans="1:13" ht="15.6" x14ac:dyDescent="0.3">
      <c r="A92" s="2"/>
      <c r="B92" s="42"/>
      <c r="C92" s="229"/>
      <c r="D92" s="47"/>
      <c r="E92" s="47"/>
      <c r="F92" s="40"/>
      <c r="G92" s="2"/>
      <c r="H92" s="41"/>
      <c r="I92" s="42"/>
      <c r="J92" s="43"/>
      <c r="K92" s="3"/>
      <c r="L92" s="3"/>
      <c r="M92" s="1"/>
    </row>
    <row r="93" spans="1:13" ht="15.6" x14ac:dyDescent="0.3">
      <c r="A93" s="2"/>
      <c r="B93" s="42"/>
      <c r="C93" s="230"/>
      <c r="D93" s="45"/>
      <c r="E93" s="45"/>
      <c r="F93" s="40"/>
      <c r="G93" s="2"/>
      <c r="H93" s="53"/>
      <c r="I93" s="54"/>
      <c r="J93" s="55"/>
      <c r="K93" s="3"/>
      <c r="L93" s="3"/>
      <c r="M93" s="1"/>
    </row>
    <row r="94" spans="1:13" ht="15.6" x14ac:dyDescent="0.3">
      <c r="A94" s="2"/>
      <c r="B94" s="1"/>
      <c r="C94" s="227"/>
      <c r="D94" s="48"/>
      <c r="E94" s="57"/>
      <c r="F94" s="40"/>
      <c r="G94" s="2"/>
      <c r="H94" s="11"/>
      <c r="I94" s="1"/>
      <c r="J94" s="3"/>
      <c r="K94" s="3"/>
      <c r="L94" s="3"/>
      <c r="M94" s="1"/>
    </row>
    <row r="95" spans="1:13" ht="15.6" x14ac:dyDescent="0.3">
      <c r="A95" s="2"/>
      <c r="B95" s="1"/>
      <c r="C95" s="227"/>
      <c r="D95" s="48"/>
      <c r="E95" s="57"/>
      <c r="F95" s="40"/>
      <c r="G95" s="2"/>
      <c r="H95" s="11"/>
      <c r="I95" s="1"/>
      <c r="J95" s="3"/>
      <c r="K95" s="3"/>
      <c r="L95" s="3"/>
      <c r="M95" s="1"/>
    </row>
    <row r="96" spans="1:13" ht="15.6" x14ac:dyDescent="0.3">
      <c r="A96" s="2"/>
      <c r="B96" s="1"/>
      <c r="C96" s="227"/>
      <c r="D96" s="48"/>
      <c r="E96" s="57"/>
      <c r="F96" s="40"/>
      <c r="G96" s="2"/>
      <c r="H96" s="11"/>
      <c r="I96" s="1"/>
      <c r="J96" s="3"/>
      <c r="K96" s="3"/>
      <c r="L96" s="3"/>
      <c r="M96" s="1"/>
    </row>
    <row r="97" spans="1:13" ht="21" x14ac:dyDescent="0.4">
      <c r="A97" s="369" t="s">
        <v>58</v>
      </c>
      <c r="B97" s="370"/>
      <c r="C97" s="370"/>
      <c r="D97" s="370"/>
      <c r="E97" s="370"/>
      <c r="F97" s="370"/>
      <c r="G97" s="370"/>
      <c r="H97" s="370"/>
      <c r="I97" s="370"/>
      <c r="J97" s="370"/>
      <c r="K97" s="370"/>
      <c r="L97" s="370"/>
      <c r="M97" s="371"/>
    </row>
    <row r="98" spans="1:13" ht="15.6" x14ac:dyDescent="0.3">
      <c r="A98" s="2"/>
      <c r="B98" s="1"/>
      <c r="C98" s="227"/>
      <c r="D98" s="48">
        <v>85938689</v>
      </c>
      <c r="E98" s="57"/>
      <c r="F98" s="40">
        <f>D98-E98</f>
        <v>85938689</v>
      </c>
      <c r="G98" s="2">
        <v>45413</v>
      </c>
      <c r="H98" s="38" t="s">
        <v>6</v>
      </c>
      <c r="I98" s="39" t="s">
        <v>59</v>
      </c>
      <c r="J98" s="3"/>
      <c r="K98" s="3">
        <v>85671958</v>
      </c>
      <c r="L98" s="3">
        <f>K98-J98</f>
        <v>85671958</v>
      </c>
      <c r="M98" s="1"/>
    </row>
    <row r="99" spans="1:13" ht="15.6" x14ac:dyDescent="0.3">
      <c r="A99" s="2"/>
      <c r="B99" s="42"/>
      <c r="C99" s="231"/>
      <c r="D99" s="44"/>
      <c r="E99" s="44"/>
      <c r="F99" s="40"/>
      <c r="G99" s="2"/>
      <c r="H99" s="49"/>
      <c r="I99" s="50"/>
      <c r="J99" s="51"/>
      <c r="K99" s="3"/>
      <c r="L99" s="3"/>
      <c r="M99" s="1"/>
    </row>
    <row r="100" spans="1:13" ht="15.6" x14ac:dyDescent="0.3">
      <c r="A100" s="2"/>
      <c r="B100" s="42"/>
      <c r="C100" s="232"/>
      <c r="D100" s="46"/>
      <c r="E100" s="46"/>
      <c r="F100" s="40"/>
      <c r="G100" s="2"/>
      <c r="H100" s="41"/>
      <c r="I100" s="42"/>
      <c r="J100" s="43"/>
      <c r="K100" s="3"/>
      <c r="L100" s="3"/>
      <c r="M100" s="1"/>
    </row>
    <row r="101" spans="1:13" ht="15.6" x14ac:dyDescent="0.3">
      <c r="A101" s="2"/>
      <c r="B101" s="1"/>
      <c r="C101" s="8"/>
      <c r="D101" s="48"/>
      <c r="E101" s="43"/>
      <c r="F101" s="40"/>
      <c r="G101" s="2"/>
      <c r="H101" s="41"/>
      <c r="I101" s="42"/>
      <c r="J101" s="43"/>
      <c r="K101" s="3"/>
      <c r="L101" s="3"/>
      <c r="M101" s="1"/>
    </row>
    <row r="102" spans="1:13" ht="15.6" x14ac:dyDescent="0.3">
      <c r="A102" s="2"/>
      <c r="B102" s="1"/>
      <c r="C102" s="8"/>
      <c r="D102" s="3"/>
      <c r="E102" s="3"/>
      <c r="F102" s="40"/>
      <c r="G102" s="2"/>
      <c r="H102" s="41"/>
      <c r="I102" s="42"/>
      <c r="J102" s="43"/>
      <c r="K102" s="3"/>
      <c r="L102" s="3"/>
      <c r="M102" s="1"/>
    </row>
    <row r="103" spans="1:13" ht="15.6" x14ac:dyDescent="0.3">
      <c r="A103" s="2"/>
      <c r="B103" s="1"/>
      <c r="C103" s="8"/>
      <c r="D103" s="3"/>
      <c r="E103" s="3"/>
      <c r="F103" s="40"/>
      <c r="G103" s="2"/>
      <c r="H103" s="11"/>
      <c r="I103" s="1"/>
      <c r="J103" s="43"/>
      <c r="K103" s="3"/>
      <c r="L103" s="3"/>
      <c r="M103" s="1"/>
    </row>
    <row r="104" spans="1:13" ht="15.6" x14ac:dyDescent="0.3">
      <c r="A104" s="2"/>
      <c r="B104" s="1"/>
      <c r="C104" s="8"/>
      <c r="D104" s="3"/>
      <c r="E104" s="3"/>
      <c r="F104" s="40"/>
      <c r="G104" s="2"/>
      <c r="H104" s="11"/>
      <c r="I104" s="1"/>
      <c r="J104" s="43"/>
      <c r="K104" s="3"/>
      <c r="L104" s="3"/>
      <c r="M104" s="1"/>
    </row>
    <row r="105" spans="1:13" ht="21" x14ac:dyDescent="0.4">
      <c r="A105" s="369" t="s">
        <v>60</v>
      </c>
      <c r="B105" s="370"/>
      <c r="C105" s="370"/>
      <c r="D105" s="370"/>
      <c r="E105" s="370"/>
      <c r="F105" s="370"/>
      <c r="G105" s="370"/>
      <c r="H105" s="370"/>
      <c r="I105" s="370"/>
      <c r="J105" s="370"/>
      <c r="K105" s="370"/>
      <c r="L105" s="370"/>
      <c r="M105" s="371"/>
    </row>
    <row r="106" spans="1:13" ht="15.6" x14ac:dyDescent="0.3">
      <c r="A106" s="2"/>
      <c r="B106" s="1"/>
      <c r="C106" s="8"/>
      <c r="D106" s="3">
        <v>70838864</v>
      </c>
      <c r="E106" s="3"/>
      <c r="F106" s="40">
        <f>D106-E106</f>
        <v>70838864</v>
      </c>
      <c r="G106" s="2">
        <v>45444</v>
      </c>
      <c r="H106" s="38" t="s">
        <v>6</v>
      </c>
      <c r="I106" s="39" t="s">
        <v>61</v>
      </c>
      <c r="J106" s="43"/>
      <c r="K106" s="3">
        <v>70537258</v>
      </c>
      <c r="L106" s="3">
        <f>K106-J106</f>
        <v>70537258</v>
      </c>
      <c r="M106" s="1"/>
    </row>
    <row r="107" spans="1:13" ht="15.6" x14ac:dyDescent="0.3">
      <c r="A107" s="2"/>
      <c r="B107" s="41"/>
      <c r="C107" s="233"/>
      <c r="D107" s="55"/>
      <c r="E107" s="55"/>
      <c r="F107" s="40"/>
      <c r="G107" s="2"/>
      <c r="H107" s="41"/>
      <c r="I107" s="42"/>
      <c r="J107" s="43"/>
      <c r="K107" s="3"/>
      <c r="L107" s="3"/>
      <c r="M107" s="3"/>
    </row>
    <row r="108" spans="1:13" ht="15.6" x14ac:dyDescent="0.3">
      <c r="A108" s="2"/>
      <c r="B108" s="42"/>
      <c r="C108" s="59"/>
      <c r="D108" s="52"/>
      <c r="E108" s="52"/>
      <c r="F108" s="40"/>
      <c r="G108" s="2"/>
      <c r="H108" s="41"/>
      <c r="I108" s="54"/>
      <c r="J108" s="55"/>
      <c r="K108" s="55"/>
      <c r="L108" s="3"/>
      <c r="M108" s="1"/>
    </row>
    <row r="109" spans="1:13" ht="15.6" x14ac:dyDescent="0.3">
      <c r="A109" s="2"/>
      <c r="B109" s="42"/>
      <c r="C109" s="60"/>
      <c r="D109" s="61"/>
      <c r="E109" s="61"/>
      <c r="F109" s="40"/>
      <c r="G109" s="2"/>
      <c r="H109" s="41"/>
      <c r="I109" s="42"/>
      <c r="J109" s="43"/>
      <c r="K109" s="3"/>
      <c r="L109" s="3"/>
      <c r="M109" s="1"/>
    </row>
    <row r="110" spans="1:13" ht="15.6" x14ac:dyDescent="0.3">
      <c r="A110" s="2"/>
      <c r="B110" s="42"/>
      <c r="C110" s="59"/>
      <c r="D110" s="52"/>
      <c r="E110" s="52"/>
      <c r="F110" s="40"/>
      <c r="G110" s="2"/>
      <c r="H110" s="53"/>
      <c r="I110" s="54"/>
      <c r="J110" s="55"/>
      <c r="K110" s="55"/>
      <c r="L110" s="3"/>
      <c r="M110" s="1"/>
    </row>
    <row r="111" spans="1:13" ht="15.6" x14ac:dyDescent="0.3">
      <c r="A111" s="2"/>
      <c r="B111" s="53"/>
      <c r="C111" s="233"/>
      <c r="D111" s="55"/>
      <c r="E111" s="55"/>
      <c r="F111" s="40"/>
      <c r="G111" s="2"/>
      <c r="H111" s="41"/>
      <c r="I111" s="42"/>
      <c r="J111" s="43"/>
      <c r="K111" s="3"/>
      <c r="L111" s="3"/>
      <c r="M111" s="1"/>
    </row>
    <row r="112" spans="1:13" ht="15.6" x14ac:dyDescent="0.3">
      <c r="A112" s="2"/>
      <c r="B112" s="42"/>
      <c r="C112" s="8"/>
      <c r="D112" s="3"/>
      <c r="E112" s="3"/>
      <c r="F112" s="40"/>
      <c r="G112" s="2"/>
      <c r="H112" s="41"/>
      <c r="I112" s="42"/>
      <c r="J112" s="43"/>
      <c r="K112" s="3"/>
      <c r="L112" s="3"/>
      <c r="M112" s="1"/>
    </row>
    <row r="113" spans="1:13" ht="15.6" x14ac:dyDescent="0.3">
      <c r="A113" s="2"/>
      <c r="B113" s="42"/>
      <c r="C113" s="8"/>
      <c r="D113" s="3"/>
      <c r="E113" s="3"/>
      <c r="F113" s="40"/>
      <c r="G113" s="2"/>
      <c r="H113" s="11"/>
      <c r="I113" s="1"/>
      <c r="J113" s="43"/>
      <c r="K113" s="3"/>
      <c r="L113" s="3"/>
      <c r="M113" s="1"/>
    </row>
    <row r="114" spans="1:13" ht="15.6" x14ac:dyDescent="0.3">
      <c r="A114" s="2"/>
      <c r="B114" s="42"/>
      <c r="C114" s="8"/>
      <c r="D114" s="3"/>
      <c r="E114" s="3"/>
      <c r="F114" s="40"/>
      <c r="G114" s="2"/>
      <c r="H114" s="11"/>
      <c r="I114" s="1"/>
      <c r="J114" s="43"/>
      <c r="K114" s="3"/>
      <c r="L114" s="3"/>
      <c r="M114" s="1"/>
    </row>
    <row r="115" spans="1:13" ht="21" x14ac:dyDescent="0.4">
      <c r="A115" s="369" t="s">
        <v>63</v>
      </c>
      <c r="B115" s="370"/>
      <c r="C115" s="370"/>
      <c r="D115" s="370"/>
      <c r="E115" s="370"/>
      <c r="F115" s="370"/>
      <c r="G115" s="370"/>
      <c r="H115" s="370"/>
      <c r="I115" s="370"/>
      <c r="J115" s="370"/>
      <c r="K115" s="370"/>
      <c r="L115" s="370"/>
      <c r="M115" s="371"/>
    </row>
    <row r="116" spans="1:13" ht="15.6" x14ac:dyDescent="0.3">
      <c r="A116" s="2"/>
      <c r="B116" s="42"/>
      <c r="C116" s="8"/>
      <c r="D116" s="3">
        <v>36205538</v>
      </c>
      <c r="E116" s="3"/>
      <c r="F116" s="40">
        <f>D116-E116</f>
        <v>36205538</v>
      </c>
      <c r="G116" s="2">
        <v>45474</v>
      </c>
      <c r="H116" s="38" t="s">
        <v>6</v>
      </c>
      <c r="I116" s="39" t="s">
        <v>64</v>
      </c>
      <c r="J116" s="43"/>
      <c r="K116" s="3">
        <v>36096895</v>
      </c>
      <c r="L116" s="3">
        <f>K116-J116</f>
        <v>36096895</v>
      </c>
      <c r="M116" s="1"/>
    </row>
    <row r="117" spans="1:13" ht="15" customHeight="1" x14ac:dyDescent="0.3">
      <c r="A117" s="2"/>
      <c r="B117" s="11"/>
      <c r="C117" s="8"/>
      <c r="D117" s="3"/>
      <c r="E117" s="3"/>
      <c r="F117" s="40"/>
      <c r="G117" s="2"/>
      <c r="H117" s="11"/>
      <c r="I117" s="1"/>
      <c r="J117" s="3"/>
      <c r="K117" s="3"/>
      <c r="L117" s="3"/>
      <c r="M117" s="1"/>
    </row>
    <row r="118" spans="1:13" ht="15" customHeight="1" x14ac:dyDescent="0.3">
      <c r="A118" s="2"/>
      <c r="B118" s="42"/>
      <c r="C118" s="234"/>
      <c r="D118" s="58"/>
      <c r="E118" s="58"/>
      <c r="F118" s="40"/>
      <c r="G118" s="2"/>
      <c r="H118" s="41"/>
      <c r="I118" s="42"/>
      <c r="J118" s="43"/>
      <c r="K118" s="3"/>
      <c r="L118" s="3"/>
      <c r="M118" s="1"/>
    </row>
    <row r="119" spans="1:13" ht="15" customHeight="1" x14ac:dyDescent="0.3">
      <c r="A119" s="2"/>
      <c r="B119" s="11"/>
      <c r="C119" s="8"/>
      <c r="D119" s="3"/>
      <c r="E119" s="3"/>
      <c r="F119" s="40"/>
      <c r="G119" s="2"/>
      <c r="H119" s="11"/>
      <c r="I119" s="1"/>
      <c r="J119" s="3"/>
      <c r="K119" s="3"/>
      <c r="L119" s="3"/>
      <c r="M119" s="1"/>
    </row>
    <row r="120" spans="1:13" ht="15" customHeight="1" x14ac:dyDescent="0.3">
      <c r="A120" s="2"/>
      <c r="B120" s="42"/>
      <c r="C120" s="62"/>
      <c r="D120" s="63"/>
      <c r="E120" s="63"/>
      <c r="F120" s="40"/>
      <c r="G120" s="2"/>
      <c r="H120" s="41"/>
      <c r="I120" s="42"/>
      <c r="J120" s="43"/>
      <c r="K120" s="3"/>
      <c r="L120" s="3"/>
      <c r="M120" s="1"/>
    </row>
    <row r="121" spans="1:13" ht="15" customHeight="1" x14ac:dyDescent="0.3">
      <c r="A121" s="2"/>
      <c r="B121" s="42"/>
      <c r="C121" s="62"/>
      <c r="D121" s="63"/>
      <c r="E121" s="63"/>
      <c r="F121" s="40"/>
      <c r="G121" s="2"/>
      <c r="H121" s="49"/>
      <c r="I121" s="50"/>
      <c r="J121" s="51"/>
      <c r="K121" s="3"/>
      <c r="L121" s="3"/>
      <c r="M121" s="1"/>
    </row>
    <row r="122" spans="1:13" ht="15.6" x14ac:dyDescent="0.3">
      <c r="A122" s="2"/>
      <c r="B122" s="1"/>
      <c r="C122" s="8"/>
      <c r="D122" s="3"/>
      <c r="E122" s="3"/>
      <c r="F122" s="40"/>
      <c r="G122" s="2"/>
      <c r="H122" s="11"/>
      <c r="I122" s="1"/>
      <c r="J122" s="3"/>
      <c r="K122" s="3"/>
      <c r="L122" s="3" t="e">
        <f>#REF!-J122+K122</f>
        <v>#REF!</v>
      </c>
      <c r="M122" s="1"/>
    </row>
    <row r="123" spans="1:13" ht="15.6" x14ac:dyDescent="0.3">
      <c r="A123" s="2"/>
      <c r="B123" s="1"/>
      <c r="C123" s="8"/>
      <c r="D123" s="3"/>
      <c r="E123" s="3"/>
      <c r="F123" s="40"/>
      <c r="G123" s="2"/>
      <c r="H123" s="11"/>
      <c r="I123" s="1"/>
      <c r="J123" s="3"/>
      <c r="K123" s="3"/>
      <c r="L123" s="3"/>
      <c r="M123" s="1"/>
    </row>
    <row r="124" spans="1:13" ht="21" x14ac:dyDescent="0.4">
      <c r="A124" s="369" t="s">
        <v>66</v>
      </c>
      <c r="B124" s="370"/>
      <c r="C124" s="370"/>
      <c r="D124" s="370"/>
      <c r="E124" s="370"/>
      <c r="F124" s="370"/>
      <c r="G124" s="370"/>
      <c r="H124" s="370"/>
      <c r="I124" s="370"/>
      <c r="J124" s="370"/>
      <c r="K124" s="370"/>
      <c r="L124" s="370"/>
      <c r="M124" s="371"/>
    </row>
    <row r="125" spans="1:13" ht="15.6" x14ac:dyDescent="0.3">
      <c r="A125" s="2"/>
      <c r="B125" s="1"/>
      <c r="C125" s="8"/>
      <c r="D125" s="3">
        <v>11855952</v>
      </c>
      <c r="E125" s="3"/>
      <c r="F125" s="40">
        <f>D125-E125</f>
        <v>11855952</v>
      </c>
      <c r="G125" s="2">
        <v>45505</v>
      </c>
      <c r="H125" s="38" t="s">
        <v>6</v>
      </c>
      <c r="I125" s="39" t="s">
        <v>67</v>
      </c>
      <c r="J125" s="3"/>
      <c r="K125" s="3">
        <v>11734787</v>
      </c>
      <c r="L125" s="3">
        <f>K125-J125</f>
        <v>11734787</v>
      </c>
      <c r="M125" s="1"/>
    </row>
    <row r="126" spans="1:13" ht="15.6" x14ac:dyDescent="0.3">
      <c r="A126" s="2"/>
      <c r="B126" s="1"/>
      <c r="C126" s="8"/>
      <c r="D126" s="3"/>
      <c r="E126" s="3"/>
      <c r="F126" s="40"/>
      <c r="G126" s="2"/>
      <c r="H126" s="11"/>
      <c r="I126" s="1"/>
      <c r="J126" s="3"/>
      <c r="K126" s="3"/>
      <c r="L126" s="3" t="e">
        <f>#REF!+K126-J126</f>
        <v>#REF!</v>
      </c>
      <c r="M126" s="1"/>
    </row>
    <row r="127" spans="1:13" ht="15.6" x14ac:dyDescent="0.3">
      <c r="A127" s="2"/>
      <c r="B127" s="1"/>
      <c r="C127" s="8"/>
      <c r="D127" s="3"/>
      <c r="E127" s="3"/>
      <c r="F127" s="40"/>
      <c r="G127" s="2"/>
      <c r="H127" s="11"/>
      <c r="I127" s="1"/>
      <c r="J127" s="3"/>
      <c r="K127" s="3"/>
      <c r="L127" s="3"/>
      <c r="M127" s="1"/>
    </row>
    <row r="128" spans="1:13" ht="21" x14ac:dyDescent="0.4">
      <c r="A128" s="369" t="s">
        <v>68</v>
      </c>
      <c r="B128" s="370"/>
      <c r="C128" s="370"/>
      <c r="D128" s="370"/>
      <c r="E128" s="370"/>
      <c r="F128" s="370"/>
      <c r="G128" s="370"/>
      <c r="H128" s="370"/>
      <c r="I128" s="370"/>
      <c r="J128" s="370"/>
      <c r="K128" s="370"/>
      <c r="L128" s="370"/>
      <c r="M128" s="371"/>
    </row>
    <row r="129" spans="1:13" ht="15.6" x14ac:dyDescent="0.3">
      <c r="A129" s="2"/>
      <c r="B129" s="1"/>
      <c r="C129" s="8"/>
      <c r="D129" s="3">
        <v>4151826</v>
      </c>
      <c r="E129" s="3"/>
      <c r="F129" s="40">
        <f>D129-E129</f>
        <v>4151826</v>
      </c>
      <c r="G129" s="2">
        <v>45536</v>
      </c>
      <c r="H129" s="38" t="s">
        <v>6</v>
      </c>
      <c r="I129" s="39" t="s">
        <v>69</v>
      </c>
      <c r="J129" s="3"/>
      <c r="K129" s="3">
        <v>3968649</v>
      </c>
      <c r="L129" s="3">
        <f>K129-J129</f>
        <v>3968649</v>
      </c>
      <c r="M129" s="1"/>
    </row>
    <row r="130" spans="1:13" ht="15.6" x14ac:dyDescent="0.3">
      <c r="A130" s="2"/>
      <c r="B130" s="1"/>
      <c r="C130" s="8"/>
      <c r="D130" s="3"/>
      <c r="E130" s="3"/>
      <c r="F130" s="40"/>
      <c r="G130" s="2"/>
      <c r="H130" s="11"/>
      <c r="I130" s="1"/>
      <c r="J130" s="3"/>
      <c r="K130" s="3"/>
      <c r="L130" s="3" t="e">
        <f>#REF!-J130+K130</f>
        <v>#REF!</v>
      </c>
      <c r="M130" s="1"/>
    </row>
    <row r="131" spans="1:13" ht="15.6" x14ac:dyDescent="0.3">
      <c r="A131" s="2"/>
      <c r="B131" s="1"/>
      <c r="C131" s="8"/>
      <c r="D131" s="3"/>
      <c r="E131" s="3"/>
      <c r="F131" s="40"/>
      <c r="G131" s="2"/>
      <c r="H131" s="11"/>
      <c r="I131" s="1"/>
      <c r="J131" s="3"/>
      <c r="K131" s="3"/>
      <c r="L131" s="3"/>
      <c r="M131" s="1"/>
    </row>
    <row r="132" spans="1:13" ht="21" x14ac:dyDescent="0.4">
      <c r="A132" s="369" t="s">
        <v>70</v>
      </c>
      <c r="B132" s="370"/>
      <c r="C132" s="370"/>
      <c r="D132" s="370"/>
      <c r="E132" s="370"/>
      <c r="F132" s="370"/>
      <c r="G132" s="370"/>
      <c r="H132" s="370"/>
      <c r="I132" s="370"/>
      <c r="J132" s="370"/>
      <c r="K132" s="370"/>
      <c r="L132" s="370"/>
      <c r="M132" s="371"/>
    </row>
    <row r="133" spans="1:13" ht="15.6" x14ac:dyDescent="0.3">
      <c r="A133" s="2"/>
      <c r="B133" s="1"/>
      <c r="C133" s="8"/>
      <c r="D133" s="3">
        <v>10248257</v>
      </c>
      <c r="E133" s="3"/>
      <c r="F133" s="40">
        <f>D133-E133</f>
        <v>10248257</v>
      </c>
      <c r="G133" s="2">
        <v>45566</v>
      </c>
      <c r="H133" s="38" t="s">
        <v>6</v>
      </c>
      <c r="I133" s="39" t="s">
        <v>71</v>
      </c>
      <c r="J133" s="3"/>
      <c r="K133" s="3">
        <v>10013802</v>
      </c>
      <c r="L133" s="3">
        <f>K133-J133</f>
        <v>10013802</v>
      </c>
      <c r="M133" s="1"/>
    </row>
    <row r="134" spans="1:13" ht="15.6" x14ac:dyDescent="0.3">
      <c r="A134" s="2"/>
      <c r="B134" s="1"/>
      <c r="C134" s="8"/>
      <c r="D134" s="3"/>
      <c r="E134" s="3"/>
      <c r="F134" s="40"/>
      <c r="G134" s="2"/>
      <c r="H134" s="49"/>
      <c r="I134" s="50"/>
      <c r="J134" s="51"/>
      <c r="K134" s="3"/>
      <c r="L134" s="3" t="e">
        <f>#REF!-J134+K134</f>
        <v>#REF!</v>
      </c>
      <c r="M134" s="1"/>
    </row>
    <row r="135" spans="1:13" ht="15.6" x14ac:dyDescent="0.3">
      <c r="A135" s="2"/>
      <c r="B135" s="1"/>
      <c r="C135" s="8"/>
      <c r="D135" s="3"/>
      <c r="E135" s="3"/>
      <c r="F135" s="40"/>
      <c r="G135" s="2"/>
      <c r="H135" s="49"/>
      <c r="I135" s="50"/>
      <c r="J135" s="51"/>
      <c r="K135" s="3"/>
      <c r="L135" s="3"/>
      <c r="M135" s="1"/>
    </row>
    <row r="136" spans="1:13" ht="21" x14ac:dyDescent="0.4">
      <c r="A136" s="369" t="s">
        <v>72</v>
      </c>
      <c r="B136" s="370"/>
      <c r="C136" s="370"/>
      <c r="D136" s="370"/>
      <c r="E136" s="370"/>
      <c r="F136" s="370"/>
      <c r="G136" s="370"/>
      <c r="H136" s="370"/>
      <c r="I136" s="370"/>
      <c r="J136" s="370"/>
      <c r="K136" s="370"/>
      <c r="L136" s="370"/>
      <c r="M136" s="371"/>
    </row>
    <row r="137" spans="1:13" ht="15.6" x14ac:dyDescent="0.3">
      <c r="A137" s="2">
        <v>45597</v>
      </c>
      <c r="B137" s="38" t="s">
        <v>6</v>
      </c>
      <c r="C137" s="235" t="s">
        <v>73</v>
      </c>
      <c r="D137" s="3">
        <v>4375331</v>
      </c>
      <c r="E137" s="3"/>
      <c r="F137" s="40">
        <f>D137-E137</f>
        <v>4375331</v>
      </c>
      <c r="G137" s="2">
        <v>45597</v>
      </c>
      <c r="H137" s="38" t="s">
        <v>6</v>
      </c>
      <c r="I137" s="39" t="s">
        <v>73</v>
      </c>
      <c r="J137" s="51"/>
      <c r="K137" s="3">
        <v>4033374</v>
      </c>
      <c r="L137" s="3">
        <f>K137-J137</f>
        <v>4033374</v>
      </c>
      <c r="M137" s="1"/>
    </row>
    <row r="138" spans="1:13" ht="15.6" x14ac:dyDescent="0.3">
      <c r="A138" s="2"/>
      <c r="B138" s="1"/>
      <c r="C138" s="8"/>
      <c r="D138" s="3"/>
      <c r="E138" s="3"/>
      <c r="F138" s="40"/>
      <c r="G138" s="2"/>
      <c r="H138" s="11"/>
      <c r="I138" s="1"/>
      <c r="J138" s="3"/>
      <c r="K138" s="3"/>
      <c r="L138" s="3"/>
      <c r="M138" s="1"/>
    </row>
    <row r="139" spans="1:13" ht="21" x14ac:dyDescent="0.4">
      <c r="A139" s="369" t="s">
        <v>74</v>
      </c>
      <c r="B139" s="370"/>
      <c r="C139" s="370"/>
      <c r="D139" s="370"/>
      <c r="E139" s="370"/>
      <c r="F139" s="370"/>
      <c r="G139" s="370"/>
      <c r="H139" s="370"/>
      <c r="I139" s="370"/>
      <c r="J139" s="370"/>
      <c r="K139" s="370"/>
      <c r="L139" s="370"/>
      <c r="M139" s="371"/>
    </row>
    <row r="140" spans="1:13" ht="15.6" x14ac:dyDescent="0.3">
      <c r="A140" s="2"/>
      <c r="B140" s="1"/>
      <c r="C140" s="8"/>
      <c r="D140" s="3">
        <v>379375331</v>
      </c>
      <c r="E140" s="3"/>
      <c r="F140" s="40">
        <f>D140-E140</f>
        <v>379375331</v>
      </c>
      <c r="G140" s="2">
        <v>45627</v>
      </c>
      <c r="H140" s="38" t="s">
        <v>6</v>
      </c>
      <c r="I140" s="39" t="s">
        <v>75</v>
      </c>
      <c r="J140" s="3"/>
      <c r="K140" s="3">
        <v>379033374</v>
      </c>
      <c r="L140" s="3">
        <f>K140-J140</f>
        <v>379033374</v>
      </c>
      <c r="M140" s="1"/>
    </row>
    <row r="141" spans="1:13" ht="15.6" x14ac:dyDescent="0.3">
      <c r="A141" s="2"/>
      <c r="B141" s="64"/>
      <c r="C141" s="8"/>
      <c r="D141" s="48"/>
      <c r="E141" s="40"/>
      <c r="F141" s="40"/>
      <c r="G141" s="2"/>
      <c r="H141" s="11"/>
      <c r="I141" s="7"/>
      <c r="J141" s="3"/>
      <c r="K141" s="3"/>
      <c r="L141" s="3"/>
      <c r="M141" s="1"/>
    </row>
    <row r="142" spans="1:13" ht="21" x14ac:dyDescent="0.4">
      <c r="A142" s="372" t="s">
        <v>76</v>
      </c>
      <c r="B142" s="372"/>
      <c r="C142" s="372"/>
      <c r="D142" s="372"/>
      <c r="E142" s="372"/>
      <c r="F142" s="372"/>
      <c r="G142" s="372"/>
      <c r="H142" s="372"/>
      <c r="I142" s="372"/>
      <c r="J142" s="372"/>
      <c r="K142" s="372"/>
      <c r="L142" s="37"/>
      <c r="M142" s="36"/>
    </row>
    <row r="143" spans="1:13" ht="15.6" x14ac:dyDescent="0.3">
      <c r="A143" s="2"/>
      <c r="B143" s="1"/>
      <c r="C143" s="8"/>
      <c r="D143" s="3"/>
      <c r="E143" s="51"/>
      <c r="F143" s="3"/>
      <c r="G143" s="65"/>
      <c r="H143" s="11"/>
      <c r="I143" s="1"/>
      <c r="J143" s="51"/>
      <c r="K143" s="3"/>
      <c r="L143" s="1"/>
      <c r="M143" s="1"/>
    </row>
    <row r="144" spans="1:13" ht="15.6" x14ac:dyDescent="0.3">
      <c r="A144" s="2"/>
      <c r="B144" s="1"/>
      <c r="C144" s="8"/>
      <c r="D144" s="3"/>
      <c r="E144" s="51"/>
      <c r="F144" s="3"/>
      <c r="G144" s="65"/>
      <c r="H144" s="11"/>
      <c r="I144" s="1"/>
      <c r="J144" s="51"/>
      <c r="K144" s="3"/>
      <c r="L144" s="1"/>
      <c r="M144" s="1"/>
    </row>
    <row r="145" spans="1:13" ht="15.6" x14ac:dyDescent="0.3">
      <c r="B145" s="66"/>
      <c r="C145" s="67" t="s">
        <v>77</v>
      </c>
      <c r="D145" s="40" t="e">
        <f>SUM(D5,D8,#REF!,#REF!,D39,D57,#REF!,#REF!,#REF!,#REF!,D107,D117,D119,#REF!,#REF!,#REF!,#REF!,#REF!,#REF!,#REF!,#REF!,#REF!,#REF!,#REF!,#REF!,#REF!,#REF!,#REF!,#REF!,#REF!,#REF!,D111)</f>
        <v>#REF!</v>
      </c>
      <c r="E145" s="68">
        <f>SUM(E5:E140)</f>
        <v>239607865</v>
      </c>
      <c r="F145" s="3" t="e">
        <f>D145-E145</f>
        <v>#REF!</v>
      </c>
      <c r="G145" s="69" t="s">
        <v>77</v>
      </c>
      <c r="H145" s="64"/>
      <c r="I145" s="69"/>
      <c r="J145" s="68">
        <f>SUM(J5:J140)</f>
        <v>248334811</v>
      </c>
      <c r="K145" s="40" t="e">
        <f>SUM(K5,K10,#REF!,#REF!,K38,K57,#REF!,#REF!,K94,#REF!,K108,K110,K117,K119,#REF!,#REF!,#REF!,#REF!,#REF!,#REF!,#REF!,#REF!,#REF!,#REF!,#REF!,#REF!,#REF!,#REF!,#REF!,#REF!,#REF!)</f>
        <v>#REF!</v>
      </c>
      <c r="L145" s="3" t="e">
        <f>K145-J145</f>
        <v>#REF!</v>
      </c>
      <c r="M145" s="3"/>
    </row>
    <row r="146" spans="1:13" ht="15.6" x14ac:dyDescent="0.3">
      <c r="B146" s="66"/>
      <c r="C146" s="67" t="s">
        <v>78</v>
      </c>
      <c r="D146" s="40"/>
      <c r="E146" s="68">
        <f>E145</f>
        <v>239607865</v>
      </c>
      <c r="F146" s="3"/>
      <c r="G146" s="69" t="s">
        <v>78</v>
      </c>
      <c r="H146" s="64"/>
      <c r="I146" s="69"/>
      <c r="J146" s="68">
        <f>SUM(J145-J147)</f>
        <v>248334811</v>
      </c>
      <c r="K146" s="40">
        <v>0</v>
      </c>
      <c r="L146" s="1"/>
      <c r="M146" s="1"/>
    </row>
    <row r="147" spans="1:13" ht="15.6" x14ac:dyDescent="0.3">
      <c r="B147" s="66"/>
      <c r="C147" s="67" t="s">
        <v>79</v>
      </c>
      <c r="D147" s="40">
        <v>0</v>
      </c>
      <c r="E147" s="68">
        <f>SUM(E143:E144)</f>
        <v>0</v>
      </c>
      <c r="F147" s="3"/>
      <c r="G147" s="69" t="s">
        <v>79</v>
      </c>
      <c r="H147" s="64"/>
      <c r="I147" s="69"/>
      <c r="J147" s="68">
        <f>SUM(J143:J144)</f>
        <v>0</v>
      </c>
      <c r="K147" s="40">
        <v>0</v>
      </c>
      <c r="L147" s="1"/>
      <c r="M147" s="1"/>
    </row>
    <row r="148" spans="1:13" ht="15.6" x14ac:dyDescent="0.3">
      <c r="B148" s="66"/>
      <c r="C148" s="67" t="s">
        <v>80</v>
      </c>
      <c r="D148" s="40">
        <v>0</v>
      </c>
      <c r="E148" s="68">
        <f>E147</f>
        <v>0</v>
      </c>
      <c r="F148" s="3"/>
      <c r="G148" s="69" t="s">
        <v>80</v>
      </c>
      <c r="H148" s="64"/>
      <c r="I148" s="69"/>
      <c r="J148" s="68">
        <f>J147</f>
        <v>0</v>
      </c>
      <c r="K148" s="40">
        <v>0</v>
      </c>
      <c r="L148" s="1"/>
      <c r="M148" s="1"/>
    </row>
    <row r="149" spans="1:13" ht="21" x14ac:dyDescent="0.4">
      <c r="A149" s="365" t="s">
        <v>81</v>
      </c>
      <c r="B149" s="365"/>
      <c r="C149" s="365"/>
      <c r="D149" s="365"/>
      <c r="E149" s="365"/>
      <c r="F149" s="365"/>
      <c r="G149" s="365"/>
      <c r="H149" s="365"/>
      <c r="I149" s="365"/>
      <c r="J149" s="365"/>
      <c r="K149" s="365"/>
      <c r="L149" s="35"/>
      <c r="M149" s="35"/>
    </row>
  </sheetData>
  <mergeCells count="17">
    <mergeCell ref="A1:K1"/>
    <mergeCell ref="A2:F2"/>
    <mergeCell ref="G2:L2"/>
    <mergeCell ref="A4:K4"/>
    <mergeCell ref="A30:M30"/>
    <mergeCell ref="A149:K149"/>
    <mergeCell ref="A53:M53"/>
    <mergeCell ref="A89:M89"/>
    <mergeCell ref="A97:M97"/>
    <mergeCell ref="A105:M105"/>
    <mergeCell ref="A115:M115"/>
    <mergeCell ref="A124:M124"/>
    <mergeCell ref="A128:M128"/>
    <mergeCell ref="A132:M132"/>
    <mergeCell ref="A136:M136"/>
    <mergeCell ref="A139:M139"/>
    <mergeCell ref="A142:K14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8"/>
  <sheetViews>
    <sheetView view="pageLayout" topLeftCell="A440" zoomScaleNormal="100" workbookViewId="0">
      <selection activeCell="F443" sqref="F443:F446"/>
    </sheetView>
  </sheetViews>
  <sheetFormatPr baseColWidth="10" defaultRowHeight="14.4" x14ac:dyDescent="0.3"/>
  <cols>
    <col min="1" max="1" width="4.88671875" customWidth="1"/>
    <col min="2" max="2" width="26" style="9" customWidth="1"/>
    <col min="3" max="3" width="11.44140625" style="319" customWidth="1"/>
    <col min="4" max="4" width="11.44140625" style="240" customWidth="1"/>
    <col min="6" max="7" width="12.44140625" bestFit="1" customWidth="1"/>
    <col min="8" max="8" width="11.33203125" bestFit="1" customWidth="1"/>
    <col min="9" max="9" width="15.109375" customWidth="1"/>
  </cols>
  <sheetData>
    <row r="1" spans="1:9" ht="15.6" x14ac:dyDescent="0.3">
      <c r="A1" s="383" t="s">
        <v>114</v>
      </c>
      <c r="B1" s="383"/>
      <c r="C1" s="383"/>
      <c r="D1" s="383"/>
      <c r="E1" s="383"/>
      <c r="F1" s="383"/>
      <c r="G1" s="383"/>
      <c r="H1" s="383"/>
      <c r="I1" s="383"/>
    </row>
    <row r="2" spans="1:9" ht="41.4" x14ac:dyDescent="0.3">
      <c r="A2" s="106" t="s">
        <v>113</v>
      </c>
      <c r="B2" s="107" t="s">
        <v>104</v>
      </c>
      <c r="C2" s="310" t="s">
        <v>105</v>
      </c>
      <c r="D2" s="108" t="s">
        <v>106</v>
      </c>
      <c r="E2" s="108" t="s">
        <v>107</v>
      </c>
      <c r="F2" s="107" t="s">
        <v>108</v>
      </c>
      <c r="G2" s="107" t="s">
        <v>109</v>
      </c>
      <c r="H2" s="106" t="s">
        <v>110</v>
      </c>
      <c r="I2" s="107" t="s">
        <v>111</v>
      </c>
    </row>
    <row r="3" spans="1:9" ht="27.6" x14ac:dyDescent="0.3">
      <c r="A3" s="109">
        <v>1</v>
      </c>
      <c r="B3" s="110" t="s">
        <v>11</v>
      </c>
      <c r="C3" s="311">
        <v>5129556</v>
      </c>
      <c r="D3" s="111">
        <v>46015</v>
      </c>
      <c r="E3" s="112">
        <v>45659</v>
      </c>
      <c r="F3" s="113">
        <v>65000</v>
      </c>
      <c r="G3" s="113">
        <v>65000</v>
      </c>
      <c r="H3" s="109">
        <f>G3-F3</f>
        <v>0</v>
      </c>
      <c r="I3" s="113" t="s">
        <v>87</v>
      </c>
    </row>
    <row r="4" spans="1:9" x14ac:dyDescent="0.3">
      <c r="A4" s="109">
        <v>2</v>
      </c>
      <c r="B4" s="110" t="s">
        <v>12</v>
      </c>
      <c r="C4" s="311">
        <v>5129557</v>
      </c>
      <c r="D4" s="111">
        <v>46015</v>
      </c>
      <c r="E4" s="112">
        <v>45932</v>
      </c>
      <c r="F4" s="113">
        <v>39000</v>
      </c>
      <c r="G4" s="113">
        <v>39000</v>
      </c>
      <c r="H4" s="109">
        <f t="shared" ref="H4:H25" si="0">G4-F4</f>
        <v>0</v>
      </c>
      <c r="I4" s="113" t="s">
        <v>52</v>
      </c>
    </row>
    <row r="5" spans="1:9" ht="41.4" x14ac:dyDescent="0.3">
      <c r="A5" s="109">
        <v>3</v>
      </c>
      <c r="B5" s="110" t="s">
        <v>14</v>
      </c>
      <c r="C5" s="311" t="s">
        <v>13</v>
      </c>
      <c r="D5" s="111">
        <v>45659</v>
      </c>
      <c r="E5" s="112">
        <v>45660</v>
      </c>
      <c r="F5" s="113">
        <v>500000</v>
      </c>
      <c r="G5" s="113">
        <v>529813</v>
      </c>
      <c r="H5" s="109">
        <f t="shared" si="0"/>
        <v>29813</v>
      </c>
      <c r="I5" s="113" t="s">
        <v>89</v>
      </c>
    </row>
    <row r="6" spans="1:9" ht="41.4" x14ac:dyDescent="0.3">
      <c r="A6" s="109">
        <v>4</v>
      </c>
      <c r="B6" s="110" t="s">
        <v>15</v>
      </c>
      <c r="C6" s="311">
        <v>5129558</v>
      </c>
      <c r="D6" s="111">
        <v>46015</v>
      </c>
      <c r="E6" s="112">
        <v>45660</v>
      </c>
      <c r="F6" s="113">
        <v>170000</v>
      </c>
      <c r="G6" s="113">
        <v>170000</v>
      </c>
      <c r="H6" s="109">
        <f t="shared" si="0"/>
        <v>0</v>
      </c>
      <c r="I6" s="113" t="s">
        <v>90</v>
      </c>
    </row>
    <row r="7" spans="1:9" ht="27.6" x14ac:dyDescent="0.3">
      <c r="A7" s="109">
        <v>5</v>
      </c>
      <c r="B7" s="110" t="s">
        <v>16</v>
      </c>
      <c r="C7" s="311">
        <v>5129559</v>
      </c>
      <c r="D7" s="111">
        <v>45660</v>
      </c>
      <c r="E7" s="112">
        <v>45663</v>
      </c>
      <c r="F7" s="113">
        <v>13675000</v>
      </c>
      <c r="G7" s="113">
        <v>13675000</v>
      </c>
      <c r="H7" s="109">
        <f t="shared" si="0"/>
        <v>0</v>
      </c>
      <c r="I7" s="113" t="s">
        <v>91</v>
      </c>
    </row>
    <row r="8" spans="1:9" ht="41.4" x14ac:dyDescent="0.3">
      <c r="A8" s="109">
        <v>6</v>
      </c>
      <c r="B8" s="110" t="s">
        <v>17</v>
      </c>
      <c r="C8" s="311">
        <v>5129552</v>
      </c>
      <c r="D8" s="111">
        <v>45642</v>
      </c>
      <c r="E8" s="112">
        <v>45665</v>
      </c>
      <c r="F8" s="113">
        <v>625000</v>
      </c>
      <c r="G8" s="113">
        <v>625000</v>
      </c>
      <c r="H8" s="109">
        <f t="shared" si="0"/>
        <v>0</v>
      </c>
      <c r="I8" s="113" t="s">
        <v>92</v>
      </c>
    </row>
    <row r="9" spans="1:9" ht="24.75" customHeight="1" x14ac:dyDescent="0.3">
      <c r="A9" s="109"/>
      <c r="B9" s="110" t="s">
        <v>115</v>
      </c>
      <c r="C9" s="311"/>
      <c r="D9" s="111"/>
      <c r="E9" s="112">
        <v>45667</v>
      </c>
      <c r="F9" s="113"/>
      <c r="G9" s="113">
        <v>4770</v>
      </c>
      <c r="H9" s="109">
        <f t="shared" si="0"/>
        <v>4770</v>
      </c>
      <c r="I9" s="113" t="s">
        <v>116</v>
      </c>
    </row>
    <row r="10" spans="1:9" ht="27" customHeight="1" x14ac:dyDescent="0.3">
      <c r="A10" s="109">
        <v>8</v>
      </c>
      <c r="B10" s="123"/>
      <c r="C10" s="312">
        <v>5129560</v>
      </c>
      <c r="D10" s="124">
        <v>45670</v>
      </c>
      <c r="E10" s="125">
        <v>45670</v>
      </c>
      <c r="F10" s="126">
        <v>1425000</v>
      </c>
      <c r="G10" s="126">
        <v>1425000</v>
      </c>
      <c r="H10" s="109">
        <f t="shared" si="0"/>
        <v>0</v>
      </c>
      <c r="I10" s="113" t="s">
        <v>95</v>
      </c>
    </row>
    <row r="11" spans="1:9" ht="41.4" x14ac:dyDescent="0.3">
      <c r="A11" s="109">
        <v>9</v>
      </c>
      <c r="B11" s="110" t="s">
        <v>18</v>
      </c>
      <c r="C11" s="311">
        <v>5129542</v>
      </c>
      <c r="D11" s="111">
        <v>45642</v>
      </c>
      <c r="E11" s="112">
        <v>45672</v>
      </c>
      <c r="F11" s="113">
        <v>150000</v>
      </c>
      <c r="G11" s="113">
        <v>150000</v>
      </c>
      <c r="H11" s="109">
        <f t="shared" si="0"/>
        <v>0</v>
      </c>
      <c r="I11" s="113" t="s">
        <v>96</v>
      </c>
    </row>
    <row r="12" spans="1:9" ht="55.2" x14ac:dyDescent="0.3">
      <c r="A12" s="109">
        <v>10</v>
      </c>
      <c r="B12" s="110" t="s">
        <v>19</v>
      </c>
      <c r="C12" s="311">
        <v>5129567</v>
      </c>
      <c r="D12" s="111">
        <v>44217</v>
      </c>
      <c r="E12" s="112">
        <v>45678</v>
      </c>
      <c r="F12" s="113">
        <v>1909000</v>
      </c>
      <c r="G12" s="113">
        <v>1909000</v>
      </c>
      <c r="H12" s="109">
        <f t="shared" si="0"/>
        <v>0</v>
      </c>
      <c r="I12" s="113" t="s">
        <v>97</v>
      </c>
    </row>
    <row r="13" spans="1:9" ht="41.4" x14ac:dyDescent="0.3">
      <c r="A13" s="109">
        <v>11</v>
      </c>
      <c r="B13" s="110" t="s">
        <v>20</v>
      </c>
      <c r="C13" s="311">
        <v>5129562</v>
      </c>
      <c r="D13" s="111">
        <v>45678</v>
      </c>
      <c r="E13" s="112">
        <v>45679</v>
      </c>
      <c r="F13" s="113">
        <v>630000</v>
      </c>
      <c r="G13" s="113">
        <v>630000</v>
      </c>
      <c r="H13" s="109">
        <f t="shared" si="0"/>
        <v>0</v>
      </c>
      <c r="I13" s="113" t="s">
        <v>98</v>
      </c>
    </row>
    <row r="14" spans="1:9" ht="27.6" x14ac:dyDescent="0.3">
      <c r="A14" s="109">
        <v>12</v>
      </c>
      <c r="B14" s="110" t="s">
        <v>23</v>
      </c>
      <c r="C14" s="311" t="s">
        <v>22</v>
      </c>
      <c r="D14" s="111">
        <v>45678</v>
      </c>
      <c r="E14" s="112">
        <v>45679</v>
      </c>
      <c r="F14" s="113">
        <v>5550000</v>
      </c>
      <c r="G14" s="113">
        <v>5550963</v>
      </c>
      <c r="H14" s="109">
        <f t="shared" si="0"/>
        <v>963</v>
      </c>
      <c r="I14" s="113" t="s">
        <v>65</v>
      </c>
    </row>
    <row r="15" spans="1:9" ht="27.6" x14ac:dyDescent="0.3">
      <c r="A15" s="109">
        <v>13</v>
      </c>
      <c r="B15" s="110" t="s">
        <v>24</v>
      </c>
      <c r="C15" s="311">
        <v>5129565</v>
      </c>
      <c r="D15" s="111">
        <v>45678</v>
      </c>
      <c r="E15" s="112">
        <v>45679</v>
      </c>
      <c r="F15" s="113">
        <v>76000</v>
      </c>
      <c r="G15" s="113">
        <v>76000</v>
      </c>
      <c r="H15" s="109">
        <f t="shared" si="0"/>
        <v>0</v>
      </c>
      <c r="I15" s="113" t="s">
        <v>52</v>
      </c>
    </row>
    <row r="16" spans="1:9" ht="27.6" x14ac:dyDescent="0.3">
      <c r="A16" s="109">
        <v>14</v>
      </c>
      <c r="B16" s="110" t="s">
        <v>25</v>
      </c>
      <c r="C16" s="311">
        <v>5129564</v>
      </c>
      <c r="D16" s="111">
        <v>45312</v>
      </c>
      <c r="E16" s="112">
        <v>45679</v>
      </c>
      <c r="F16" s="113">
        <v>3285000</v>
      </c>
      <c r="G16" s="113">
        <v>3285000</v>
      </c>
      <c r="H16" s="109">
        <f t="shared" si="0"/>
        <v>0</v>
      </c>
      <c r="I16" s="113" t="s">
        <v>53</v>
      </c>
    </row>
    <row r="17" spans="1:9" ht="41.4" x14ac:dyDescent="0.3">
      <c r="A17" s="109">
        <v>15</v>
      </c>
      <c r="B17" s="110" t="s">
        <v>29</v>
      </c>
      <c r="C17" s="311" t="s">
        <v>28</v>
      </c>
      <c r="D17" s="111">
        <v>45679</v>
      </c>
      <c r="E17" s="112">
        <v>45680</v>
      </c>
      <c r="F17" s="113">
        <v>1237000</v>
      </c>
      <c r="G17" s="113">
        <v>1243463</v>
      </c>
      <c r="H17" s="109">
        <f t="shared" si="0"/>
        <v>6463</v>
      </c>
      <c r="I17" s="113" t="s">
        <v>62</v>
      </c>
    </row>
    <row r="18" spans="1:9" ht="41.4" x14ac:dyDescent="0.3">
      <c r="A18" s="109">
        <v>16</v>
      </c>
      <c r="B18" s="110" t="s">
        <v>31</v>
      </c>
      <c r="C18" s="311" t="s">
        <v>30</v>
      </c>
      <c r="D18" s="111">
        <v>45679</v>
      </c>
      <c r="E18" s="112">
        <v>45680</v>
      </c>
      <c r="F18" s="113">
        <v>1225800</v>
      </c>
      <c r="G18" s="113">
        <v>1255613</v>
      </c>
      <c r="H18" s="109">
        <f t="shared" si="0"/>
        <v>29813</v>
      </c>
      <c r="I18" s="113" t="s">
        <v>99</v>
      </c>
    </row>
    <row r="19" spans="1:9" ht="64.5" customHeight="1" x14ac:dyDescent="0.3">
      <c r="A19" s="109">
        <v>17</v>
      </c>
      <c r="B19" s="110" t="s">
        <v>32</v>
      </c>
      <c r="C19" s="311">
        <v>5129561</v>
      </c>
      <c r="D19" s="111">
        <v>45678</v>
      </c>
      <c r="E19" s="112">
        <v>45680</v>
      </c>
      <c r="F19" s="113">
        <v>4790000</v>
      </c>
      <c r="G19" s="113">
        <v>4790000</v>
      </c>
      <c r="H19" s="109">
        <f t="shared" si="0"/>
        <v>0</v>
      </c>
      <c r="I19" s="113" t="s">
        <v>100</v>
      </c>
    </row>
    <row r="20" spans="1:9" ht="41.4" x14ac:dyDescent="0.3">
      <c r="A20" s="109">
        <v>18</v>
      </c>
      <c r="B20" s="110" t="s">
        <v>34</v>
      </c>
      <c r="C20" s="311" t="s">
        <v>33</v>
      </c>
      <c r="D20" s="111">
        <v>45681</v>
      </c>
      <c r="E20" s="112">
        <v>45681</v>
      </c>
      <c r="F20" s="113">
        <v>9600000</v>
      </c>
      <c r="G20" s="113">
        <v>9605963</v>
      </c>
      <c r="H20" s="109">
        <f t="shared" si="0"/>
        <v>5963</v>
      </c>
      <c r="I20" s="113" t="s">
        <v>101</v>
      </c>
    </row>
    <row r="21" spans="1:9" ht="41.4" x14ac:dyDescent="0.3">
      <c r="A21" s="109">
        <v>19</v>
      </c>
      <c r="B21" s="110" t="s">
        <v>35</v>
      </c>
      <c r="C21" s="311" t="s">
        <v>36</v>
      </c>
      <c r="D21" s="111">
        <v>45681</v>
      </c>
      <c r="E21" s="112">
        <v>45681</v>
      </c>
      <c r="F21" s="113">
        <v>9600000</v>
      </c>
      <c r="G21" s="113">
        <v>9605963</v>
      </c>
      <c r="H21" s="109">
        <f t="shared" si="0"/>
        <v>5963</v>
      </c>
      <c r="I21" s="113" t="s">
        <v>101</v>
      </c>
    </row>
    <row r="22" spans="1:9" ht="41.4" x14ac:dyDescent="0.3">
      <c r="A22" s="109">
        <v>20</v>
      </c>
      <c r="B22" s="110" t="s">
        <v>37</v>
      </c>
      <c r="C22" s="311" t="s">
        <v>38</v>
      </c>
      <c r="D22" s="111">
        <v>45681</v>
      </c>
      <c r="E22" s="112">
        <v>45681</v>
      </c>
      <c r="F22" s="113">
        <v>9600000</v>
      </c>
      <c r="G22" s="113">
        <v>9605963</v>
      </c>
      <c r="H22" s="109">
        <f t="shared" si="0"/>
        <v>5963</v>
      </c>
      <c r="I22" s="113" t="s">
        <v>101</v>
      </c>
    </row>
    <row r="23" spans="1:9" ht="27.6" x14ac:dyDescent="0.3">
      <c r="A23" s="109">
        <v>21</v>
      </c>
      <c r="B23" s="110" t="s">
        <v>39</v>
      </c>
      <c r="C23" s="311">
        <v>5129563</v>
      </c>
      <c r="D23" s="111">
        <v>45678</v>
      </c>
      <c r="E23" s="112">
        <v>45684</v>
      </c>
      <c r="F23" s="113">
        <v>3243000</v>
      </c>
      <c r="G23" s="113">
        <v>3243000</v>
      </c>
      <c r="H23" s="109">
        <f t="shared" si="0"/>
        <v>0</v>
      </c>
      <c r="I23" s="113" t="s">
        <v>102</v>
      </c>
    </row>
    <row r="24" spans="1:9" ht="27.6" x14ac:dyDescent="0.3">
      <c r="A24" s="109">
        <v>22</v>
      </c>
      <c r="B24" s="123"/>
      <c r="C24" s="312">
        <v>5129568</v>
      </c>
      <c r="D24" s="124">
        <v>45686</v>
      </c>
      <c r="E24" s="125">
        <v>45686</v>
      </c>
      <c r="F24" s="126">
        <v>6999500</v>
      </c>
      <c r="G24" s="126">
        <v>6999500</v>
      </c>
      <c r="H24" s="109">
        <f t="shared" si="0"/>
        <v>0</v>
      </c>
      <c r="I24" s="113" t="s">
        <v>103</v>
      </c>
    </row>
    <row r="25" spans="1:9" ht="45.75" customHeight="1" x14ac:dyDescent="0.3">
      <c r="A25" s="109">
        <v>23</v>
      </c>
      <c r="B25" s="110" t="s">
        <v>40</v>
      </c>
      <c r="C25" s="311">
        <v>5129569</v>
      </c>
      <c r="D25" s="111">
        <v>45685</v>
      </c>
      <c r="E25" s="112">
        <v>45687</v>
      </c>
      <c r="F25" s="113">
        <v>888500</v>
      </c>
      <c r="G25" s="113">
        <v>888500</v>
      </c>
      <c r="H25" s="109">
        <f t="shared" si="0"/>
        <v>0</v>
      </c>
      <c r="I25" s="113" t="s">
        <v>62</v>
      </c>
    </row>
    <row r="26" spans="1:9" ht="24" customHeight="1" x14ac:dyDescent="0.3">
      <c r="A26" s="109">
        <v>24</v>
      </c>
      <c r="B26" s="114" t="s">
        <v>112</v>
      </c>
      <c r="C26" s="313"/>
      <c r="D26" s="115"/>
      <c r="E26" s="116"/>
      <c r="F26" s="117">
        <f>SUM(F3:F25)</f>
        <v>75282800</v>
      </c>
      <c r="G26" s="117">
        <f>SUM(G3:G25)</f>
        <v>75372511</v>
      </c>
      <c r="H26" s="118">
        <f>SUM(H3:H25)</f>
        <v>89711</v>
      </c>
      <c r="I26" s="119"/>
    </row>
    <row r="27" spans="1:9" x14ac:dyDescent="0.3">
      <c r="A27" s="120"/>
      <c r="B27" s="384" t="s">
        <v>245</v>
      </c>
      <c r="C27" s="385"/>
      <c r="D27" s="385"/>
      <c r="E27" s="386"/>
      <c r="F27" s="121">
        <f>SUM(F26+H26)</f>
        <v>75372511</v>
      </c>
      <c r="G27" s="122"/>
      <c r="H27" s="120"/>
      <c r="I27" s="122"/>
    </row>
    <row r="32" spans="1:9" ht="15.6" x14ac:dyDescent="0.3">
      <c r="A32" s="383" t="s">
        <v>240</v>
      </c>
      <c r="B32" s="383"/>
      <c r="C32" s="383"/>
      <c r="D32" s="383"/>
      <c r="E32" s="383"/>
      <c r="F32" s="383"/>
      <c r="G32" s="383"/>
      <c r="H32" s="383"/>
      <c r="I32" s="383"/>
    </row>
    <row r="33" spans="1:9" ht="41.4" x14ac:dyDescent="0.3">
      <c r="A33" s="106" t="s">
        <v>113</v>
      </c>
      <c r="B33" s="107" t="s">
        <v>104</v>
      </c>
      <c r="C33" s="310" t="s">
        <v>105</v>
      </c>
      <c r="D33" s="108" t="s">
        <v>106</v>
      </c>
      <c r="E33" s="108" t="s">
        <v>107</v>
      </c>
      <c r="F33" s="107" t="s">
        <v>108</v>
      </c>
      <c r="G33" s="107" t="s">
        <v>109</v>
      </c>
      <c r="H33" s="106" t="s">
        <v>110</v>
      </c>
      <c r="I33" s="107" t="s">
        <v>111</v>
      </c>
    </row>
    <row r="34" spans="1:9" ht="41.4" x14ac:dyDescent="0.3">
      <c r="A34" s="109">
        <v>1</v>
      </c>
      <c r="B34" s="110" t="s">
        <v>210</v>
      </c>
      <c r="C34" s="311">
        <v>5129570</v>
      </c>
      <c r="D34" s="111">
        <v>45691</v>
      </c>
      <c r="E34" s="112">
        <v>45691</v>
      </c>
      <c r="F34" s="113">
        <v>3607000</v>
      </c>
      <c r="G34" s="113">
        <v>3607000</v>
      </c>
      <c r="H34" s="109">
        <f>G34-F34</f>
        <v>0</v>
      </c>
      <c r="I34" s="113" t="s">
        <v>226</v>
      </c>
    </row>
    <row r="35" spans="1:9" ht="41.4" x14ac:dyDescent="0.3">
      <c r="A35" s="109">
        <v>2</v>
      </c>
      <c r="B35" s="110" t="s">
        <v>210</v>
      </c>
      <c r="C35" s="311">
        <v>5129571</v>
      </c>
      <c r="D35" s="111">
        <v>45691</v>
      </c>
      <c r="E35" s="112">
        <v>45691</v>
      </c>
      <c r="F35" s="113">
        <v>3607000</v>
      </c>
      <c r="G35" s="113">
        <v>3607000</v>
      </c>
      <c r="H35" s="109">
        <f t="shared" ref="H35:H50" si="1">G35-F35</f>
        <v>0</v>
      </c>
      <c r="I35" s="113" t="s">
        <v>227</v>
      </c>
    </row>
    <row r="36" spans="1:9" x14ac:dyDescent="0.3">
      <c r="A36" s="109">
        <v>4</v>
      </c>
      <c r="B36" s="110" t="s">
        <v>94</v>
      </c>
      <c r="C36" s="311"/>
      <c r="D36" s="111"/>
      <c r="E36" s="112">
        <v>45693</v>
      </c>
      <c r="F36" s="113">
        <v>0</v>
      </c>
      <c r="G36" s="113">
        <v>596</v>
      </c>
      <c r="H36" s="109">
        <f t="shared" si="1"/>
        <v>596</v>
      </c>
      <c r="I36" s="113" t="s">
        <v>241</v>
      </c>
    </row>
    <row r="37" spans="1:9" ht="27.6" x14ac:dyDescent="0.3">
      <c r="A37" s="109">
        <v>5</v>
      </c>
      <c r="B37" s="110" t="s">
        <v>212</v>
      </c>
      <c r="C37" s="311" t="s">
        <v>211</v>
      </c>
      <c r="D37" s="111">
        <v>44962</v>
      </c>
      <c r="E37" s="112">
        <v>45694</v>
      </c>
      <c r="F37" s="113">
        <v>500000</v>
      </c>
      <c r="G37" s="113">
        <v>529813</v>
      </c>
      <c r="H37" s="109">
        <f t="shared" si="1"/>
        <v>29813</v>
      </c>
      <c r="I37" s="113" t="s">
        <v>243</v>
      </c>
    </row>
    <row r="38" spans="1:9" ht="41.4" x14ac:dyDescent="0.3">
      <c r="A38" s="109">
        <v>6</v>
      </c>
      <c r="B38" s="110" t="s">
        <v>212</v>
      </c>
      <c r="C38" s="311" t="s">
        <v>213</v>
      </c>
      <c r="D38" s="111">
        <v>45693</v>
      </c>
      <c r="E38" s="112" t="s">
        <v>230</v>
      </c>
      <c r="F38" s="113">
        <v>500000</v>
      </c>
      <c r="G38" s="113">
        <v>529813</v>
      </c>
      <c r="H38" s="109">
        <f t="shared" si="1"/>
        <v>29813</v>
      </c>
      <c r="I38" s="113" t="s">
        <v>231</v>
      </c>
    </row>
    <row r="39" spans="1:9" ht="27.6" x14ac:dyDescent="0.3">
      <c r="A39" s="109"/>
      <c r="B39" s="110" t="s">
        <v>215</v>
      </c>
      <c r="C39" s="311" t="s">
        <v>214</v>
      </c>
      <c r="D39" s="111">
        <v>45706</v>
      </c>
      <c r="E39" s="112">
        <v>45707</v>
      </c>
      <c r="F39" s="113">
        <v>1100000</v>
      </c>
      <c r="G39" s="113">
        <v>1129813</v>
      </c>
      <c r="H39" s="109">
        <f t="shared" si="1"/>
        <v>29813</v>
      </c>
      <c r="I39" s="113" t="s">
        <v>232</v>
      </c>
    </row>
    <row r="40" spans="1:9" ht="27.6" x14ac:dyDescent="0.3">
      <c r="A40" s="109">
        <v>8</v>
      </c>
      <c r="B40" s="194" t="s">
        <v>216</v>
      </c>
      <c r="C40" s="311">
        <v>5129573</v>
      </c>
      <c r="D40" s="195">
        <v>45706</v>
      </c>
      <c r="E40" s="196">
        <v>45707</v>
      </c>
      <c r="F40" s="197">
        <v>1805000</v>
      </c>
      <c r="G40" s="197">
        <v>1805000</v>
      </c>
      <c r="H40" s="109">
        <f t="shared" si="1"/>
        <v>0</v>
      </c>
      <c r="I40" s="113" t="s">
        <v>233</v>
      </c>
    </row>
    <row r="41" spans="1:9" ht="41.4" x14ac:dyDescent="0.3">
      <c r="A41" s="109">
        <v>9</v>
      </c>
      <c r="B41" s="110" t="s">
        <v>217</v>
      </c>
      <c r="C41" s="311">
        <v>5129566</v>
      </c>
      <c r="D41" s="111">
        <v>45678</v>
      </c>
      <c r="E41" s="112">
        <v>45708</v>
      </c>
      <c r="F41" s="113">
        <v>33000</v>
      </c>
      <c r="G41" s="113">
        <v>33000</v>
      </c>
      <c r="H41" s="109">
        <f t="shared" si="1"/>
        <v>0</v>
      </c>
      <c r="I41" s="113" t="s">
        <v>242</v>
      </c>
    </row>
    <row r="42" spans="1:9" ht="27.6" x14ac:dyDescent="0.3">
      <c r="A42" s="109">
        <v>10</v>
      </c>
      <c r="B42" s="110" t="s">
        <v>218</v>
      </c>
      <c r="C42" s="311" t="s">
        <v>214</v>
      </c>
      <c r="D42" s="111">
        <v>45706</v>
      </c>
      <c r="E42" s="112">
        <v>45708</v>
      </c>
      <c r="F42" s="113">
        <v>4040695</v>
      </c>
      <c r="G42" s="113">
        <v>4040695</v>
      </c>
      <c r="H42" s="109">
        <f t="shared" si="1"/>
        <v>0</v>
      </c>
      <c r="I42" s="113" t="s">
        <v>234</v>
      </c>
    </row>
    <row r="43" spans="1:9" x14ac:dyDescent="0.3">
      <c r="A43" s="109">
        <v>11</v>
      </c>
      <c r="B43" s="110" t="s">
        <v>235</v>
      </c>
      <c r="C43" s="311"/>
      <c r="D43" s="111"/>
      <c r="E43" s="112">
        <v>45708</v>
      </c>
      <c r="F43" s="113">
        <v>0</v>
      </c>
      <c r="G43" s="113">
        <v>68388</v>
      </c>
      <c r="H43" s="109">
        <f t="shared" si="1"/>
        <v>68388</v>
      </c>
      <c r="I43" s="113" t="s">
        <v>241</v>
      </c>
    </row>
    <row r="44" spans="1:9" x14ac:dyDescent="0.3">
      <c r="A44" s="109">
        <v>12</v>
      </c>
      <c r="B44" s="110" t="s">
        <v>236</v>
      </c>
      <c r="C44" s="311"/>
      <c r="D44" s="111"/>
      <c r="E44" s="112">
        <v>45709</v>
      </c>
      <c r="F44" s="113">
        <v>0</v>
      </c>
      <c r="G44" s="113">
        <v>8944</v>
      </c>
      <c r="H44" s="109">
        <f t="shared" si="1"/>
        <v>8944</v>
      </c>
      <c r="I44" s="113" t="s">
        <v>241</v>
      </c>
    </row>
    <row r="45" spans="1:9" x14ac:dyDescent="0.3">
      <c r="A45" s="109">
        <v>13</v>
      </c>
      <c r="B45" s="110" t="s">
        <v>236</v>
      </c>
      <c r="C45" s="311"/>
      <c r="D45" s="111"/>
      <c r="E45" s="112">
        <v>45709</v>
      </c>
      <c r="F45" s="113">
        <v>0</v>
      </c>
      <c r="G45" s="113">
        <v>8944</v>
      </c>
      <c r="H45" s="109">
        <f t="shared" si="1"/>
        <v>8944</v>
      </c>
      <c r="I45" s="113" t="s">
        <v>241</v>
      </c>
    </row>
    <row r="46" spans="1:9" ht="27.6" x14ac:dyDescent="0.3">
      <c r="A46" s="109">
        <v>14</v>
      </c>
      <c r="B46" s="110" t="s">
        <v>219</v>
      </c>
      <c r="C46" s="311">
        <v>5129572</v>
      </c>
      <c r="D46" s="111">
        <v>45692</v>
      </c>
      <c r="E46" s="112">
        <v>45712</v>
      </c>
      <c r="F46" s="113">
        <v>3265000</v>
      </c>
      <c r="G46" s="113">
        <v>3265000</v>
      </c>
      <c r="H46" s="109">
        <f t="shared" si="1"/>
        <v>0</v>
      </c>
      <c r="I46" s="113" t="s">
        <v>102</v>
      </c>
    </row>
    <row r="47" spans="1:9" ht="27.6" x14ac:dyDescent="0.3">
      <c r="A47" s="109">
        <v>15</v>
      </c>
      <c r="B47" s="110" t="s">
        <v>220</v>
      </c>
      <c r="C47" s="311">
        <v>5129574</v>
      </c>
      <c r="D47" s="111">
        <v>45706</v>
      </c>
      <c r="E47" s="112">
        <v>45712</v>
      </c>
      <c r="F47" s="113">
        <v>465000</v>
      </c>
      <c r="G47" s="113">
        <v>465000</v>
      </c>
      <c r="H47" s="109">
        <f t="shared" si="1"/>
        <v>0</v>
      </c>
      <c r="I47" s="113" t="s">
        <v>65</v>
      </c>
    </row>
    <row r="48" spans="1:9" x14ac:dyDescent="0.3">
      <c r="A48" s="109">
        <v>16</v>
      </c>
      <c r="B48" s="110" t="s">
        <v>237</v>
      </c>
      <c r="C48" s="311"/>
      <c r="D48" s="111"/>
      <c r="E48" s="112">
        <v>45712</v>
      </c>
      <c r="F48" s="113"/>
      <c r="G48" s="113">
        <v>23418</v>
      </c>
      <c r="H48" s="109">
        <f t="shared" si="1"/>
        <v>23418</v>
      </c>
      <c r="I48" s="113" t="s">
        <v>241</v>
      </c>
    </row>
    <row r="49" spans="1:9" ht="27.6" x14ac:dyDescent="0.3">
      <c r="A49" s="109">
        <v>17</v>
      </c>
      <c r="B49" s="110" t="s">
        <v>221</v>
      </c>
      <c r="C49" s="311">
        <v>5129575</v>
      </c>
      <c r="D49" s="111">
        <v>45712</v>
      </c>
      <c r="E49" s="112">
        <v>45713</v>
      </c>
      <c r="F49" s="113">
        <v>1214320</v>
      </c>
      <c r="G49" s="113">
        <v>1214320</v>
      </c>
      <c r="H49" s="109">
        <f t="shared" si="1"/>
        <v>0</v>
      </c>
      <c r="I49" s="113" t="s">
        <v>238</v>
      </c>
    </row>
    <row r="50" spans="1:9" ht="41.4" x14ac:dyDescent="0.3">
      <c r="A50" s="109">
        <v>18</v>
      </c>
      <c r="B50" s="110" t="s">
        <v>222</v>
      </c>
      <c r="C50" s="311">
        <v>5129576</v>
      </c>
      <c r="D50" s="111">
        <v>45712</v>
      </c>
      <c r="E50" s="112">
        <v>45716</v>
      </c>
      <c r="F50" s="113">
        <v>73000</v>
      </c>
      <c r="G50" s="113">
        <v>73000</v>
      </c>
      <c r="H50" s="109">
        <f t="shared" si="1"/>
        <v>0</v>
      </c>
      <c r="I50" s="113" t="s">
        <v>239</v>
      </c>
    </row>
    <row r="51" spans="1:9" x14ac:dyDescent="0.3">
      <c r="A51" s="109">
        <v>24</v>
      </c>
      <c r="B51" s="114" t="s">
        <v>112</v>
      </c>
      <c r="C51" s="313"/>
      <c r="D51" s="115"/>
      <c r="E51" s="116"/>
      <c r="F51" s="117">
        <f>SUM(F34:F50)</f>
        <v>20210015</v>
      </c>
      <c r="G51" s="117">
        <f>SUM(G34:G50)</f>
        <v>20409744</v>
      </c>
      <c r="H51" s="118">
        <f>SUM(H34:H50)</f>
        <v>199729</v>
      </c>
      <c r="I51" s="119"/>
    </row>
    <row r="52" spans="1:9" x14ac:dyDescent="0.3">
      <c r="A52" s="120"/>
      <c r="B52" s="384" t="s">
        <v>244</v>
      </c>
      <c r="C52" s="385"/>
      <c r="D52" s="385"/>
      <c r="E52" s="386"/>
      <c r="F52" s="121">
        <f>SUM(F51+H51)</f>
        <v>20409744</v>
      </c>
      <c r="G52" s="122"/>
      <c r="H52" s="120"/>
      <c r="I52" s="122"/>
    </row>
    <row r="53" spans="1:9" x14ac:dyDescent="0.3">
      <c r="A53" s="307"/>
      <c r="B53" s="308"/>
      <c r="C53" s="314"/>
      <c r="D53" s="308"/>
      <c r="E53" s="308"/>
      <c r="F53" s="308"/>
      <c r="G53" s="309"/>
      <c r="H53" s="307"/>
      <c r="I53" s="309"/>
    </row>
    <row r="83" spans="1:9" ht="15.6" x14ac:dyDescent="0.3">
      <c r="A83" s="383" t="s">
        <v>286</v>
      </c>
      <c r="B83" s="383"/>
      <c r="C83" s="383"/>
      <c r="D83" s="383"/>
      <c r="E83" s="383"/>
      <c r="F83" s="383"/>
      <c r="G83" s="383"/>
      <c r="H83" s="383"/>
      <c r="I83" s="383"/>
    </row>
    <row r="84" spans="1:9" ht="41.4" x14ac:dyDescent="0.3">
      <c r="A84" s="106" t="s">
        <v>113</v>
      </c>
      <c r="B84" s="107" t="s">
        <v>104</v>
      </c>
      <c r="C84" s="310" t="s">
        <v>105</v>
      </c>
      <c r="D84" s="108" t="s">
        <v>106</v>
      </c>
      <c r="E84" s="108" t="s">
        <v>107</v>
      </c>
      <c r="F84" s="107" t="s">
        <v>108</v>
      </c>
      <c r="G84" s="107" t="s">
        <v>109</v>
      </c>
      <c r="H84" s="106" t="s">
        <v>110</v>
      </c>
      <c r="I84" s="107" t="s">
        <v>111</v>
      </c>
    </row>
    <row r="85" spans="1:9" ht="41.4" x14ac:dyDescent="0.3">
      <c r="A85" s="109">
        <v>1</v>
      </c>
      <c r="B85" s="110" t="s">
        <v>777</v>
      </c>
      <c r="C85" s="312">
        <v>5129578</v>
      </c>
      <c r="D85" s="236"/>
      <c r="E85" s="237">
        <v>45719</v>
      </c>
      <c r="F85" s="238">
        <v>10000000</v>
      </c>
      <c r="G85" s="238">
        <v>10033300</v>
      </c>
      <c r="H85" s="239">
        <f>G85-F85</f>
        <v>33300</v>
      </c>
      <c r="I85" s="238" t="s">
        <v>246</v>
      </c>
    </row>
    <row r="86" spans="1:9" ht="55.2" x14ac:dyDescent="0.3">
      <c r="A86" s="109">
        <v>2</v>
      </c>
      <c r="B86" s="110" t="s">
        <v>261</v>
      </c>
      <c r="C86" s="311">
        <v>5129579</v>
      </c>
      <c r="D86" s="111">
        <v>45714</v>
      </c>
      <c r="E86" s="112">
        <v>45719</v>
      </c>
      <c r="F86" s="113">
        <v>4990600</v>
      </c>
      <c r="G86" s="113">
        <v>4990600</v>
      </c>
      <c r="H86" s="109">
        <f>G86-F86</f>
        <v>0</v>
      </c>
      <c r="I86" s="113" t="s">
        <v>247</v>
      </c>
    </row>
    <row r="87" spans="1:9" ht="27.6" x14ac:dyDescent="0.3">
      <c r="A87" s="109">
        <v>4</v>
      </c>
      <c r="B87" s="110" t="s">
        <v>248</v>
      </c>
      <c r="C87" s="311" t="s">
        <v>208</v>
      </c>
      <c r="D87" s="111" t="s">
        <v>288</v>
      </c>
      <c r="E87" s="112">
        <v>45719</v>
      </c>
      <c r="F87" s="113">
        <v>0</v>
      </c>
      <c r="G87" s="113">
        <v>11925</v>
      </c>
      <c r="H87" s="109">
        <f>G87-F87</f>
        <v>11925</v>
      </c>
      <c r="I87" s="113" t="s">
        <v>241</v>
      </c>
    </row>
    <row r="88" spans="1:9" ht="41.4" x14ac:dyDescent="0.3">
      <c r="A88" s="109">
        <v>5</v>
      </c>
      <c r="B88" s="246" t="s">
        <v>290</v>
      </c>
      <c r="C88" s="315">
        <v>5129584</v>
      </c>
      <c r="D88" s="247" t="s">
        <v>288</v>
      </c>
      <c r="E88" s="248">
        <v>45721</v>
      </c>
      <c r="F88" s="249">
        <v>1387000</v>
      </c>
      <c r="G88" s="249">
        <v>1387000</v>
      </c>
      <c r="H88" s="250">
        <f t="shared" ref="H88:H100" si="2">G88-F88</f>
        <v>0</v>
      </c>
      <c r="I88" s="249" t="s">
        <v>249</v>
      </c>
    </row>
    <row r="89" spans="1:9" ht="55.2" x14ac:dyDescent="0.3">
      <c r="A89" s="109">
        <v>6</v>
      </c>
      <c r="B89" s="110" t="s">
        <v>262</v>
      </c>
      <c r="C89" s="311">
        <v>5129580</v>
      </c>
      <c r="D89" s="111">
        <v>45722</v>
      </c>
      <c r="E89" s="112">
        <v>45721</v>
      </c>
      <c r="F89" s="113">
        <v>850000</v>
      </c>
      <c r="G89" s="113">
        <v>850000</v>
      </c>
      <c r="H89" s="109">
        <f t="shared" si="2"/>
        <v>0</v>
      </c>
      <c r="I89" s="113" t="s">
        <v>250</v>
      </c>
    </row>
    <row r="90" spans="1:9" ht="41.4" x14ac:dyDescent="0.3">
      <c r="A90" s="109">
        <v>7</v>
      </c>
      <c r="B90" s="110" t="s">
        <v>264</v>
      </c>
      <c r="C90" s="311" t="s">
        <v>263</v>
      </c>
      <c r="D90" s="111">
        <v>45722</v>
      </c>
      <c r="E90" s="112">
        <v>45723</v>
      </c>
      <c r="F90" s="113">
        <v>631950</v>
      </c>
      <c r="G90" s="113">
        <v>661763</v>
      </c>
      <c r="H90" s="109">
        <f t="shared" si="2"/>
        <v>29813</v>
      </c>
      <c r="I90" s="113" t="s">
        <v>99</v>
      </c>
    </row>
    <row r="91" spans="1:9" ht="69" x14ac:dyDescent="0.3">
      <c r="A91" s="109">
        <v>8</v>
      </c>
      <c r="B91" s="194" t="s">
        <v>266</v>
      </c>
      <c r="C91" s="311" t="s">
        <v>265</v>
      </c>
      <c r="D91" s="111">
        <v>45721</v>
      </c>
      <c r="E91" s="112">
        <v>45726</v>
      </c>
      <c r="F91" s="113">
        <v>2250000</v>
      </c>
      <c r="G91" s="113">
        <v>2251789</v>
      </c>
      <c r="H91" s="109">
        <f t="shared" si="2"/>
        <v>1789</v>
      </c>
      <c r="I91" s="113" t="s">
        <v>289</v>
      </c>
    </row>
    <row r="92" spans="1:9" ht="41.4" x14ac:dyDescent="0.3">
      <c r="A92" s="109">
        <v>9</v>
      </c>
      <c r="B92" s="110" t="s">
        <v>267</v>
      </c>
      <c r="C92" s="311">
        <v>5129592</v>
      </c>
      <c r="D92" s="111">
        <v>45721</v>
      </c>
      <c r="E92" s="112">
        <v>45726</v>
      </c>
      <c r="F92" s="113">
        <v>709000</v>
      </c>
      <c r="G92" s="113">
        <v>709000</v>
      </c>
      <c r="H92" s="109">
        <f t="shared" si="2"/>
        <v>0</v>
      </c>
      <c r="I92" s="113" t="s">
        <v>62</v>
      </c>
    </row>
    <row r="93" spans="1:9" ht="41.4" x14ac:dyDescent="0.3">
      <c r="A93" s="109">
        <v>10</v>
      </c>
      <c r="B93" s="110" t="s">
        <v>268</v>
      </c>
      <c r="C93" s="311">
        <v>5129590</v>
      </c>
      <c r="D93" s="111">
        <v>45721</v>
      </c>
      <c r="E93" s="112">
        <v>45726</v>
      </c>
      <c r="F93" s="113">
        <v>987500</v>
      </c>
      <c r="G93" s="113">
        <v>989750</v>
      </c>
      <c r="H93" s="109">
        <f t="shared" si="2"/>
        <v>2250</v>
      </c>
      <c r="I93" s="113" t="s">
        <v>62</v>
      </c>
    </row>
    <row r="94" spans="1:9" ht="41.4" x14ac:dyDescent="0.3">
      <c r="A94" s="109">
        <v>11</v>
      </c>
      <c r="B94" s="110" t="s">
        <v>269</v>
      </c>
      <c r="C94" s="311">
        <v>5129591</v>
      </c>
      <c r="D94" s="111">
        <v>45721</v>
      </c>
      <c r="E94" s="112">
        <v>45726</v>
      </c>
      <c r="F94" s="113">
        <v>987500</v>
      </c>
      <c r="G94" s="113">
        <v>989750</v>
      </c>
      <c r="H94" s="109">
        <f t="shared" si="2"/>
        <v>2250</v>
      </c>
      <c r="I94" s="113" t="s">
        <v>62</v>
      </c>
    </row>
    <row r="95" spans="1:9" x14ac:dyDescent="0.3">
      <c r="A95" s="109">
        <v>12</v>
      </c>
      <c r="B95" s="110" t="s">
        <v>270</v>
      </c>
      <c r="C95" s="311">
        <v>5129595</v>
      </c>
      <c r="D95" s="111">
        <v>45723</v>
      </c>
      <c r="E95" s="112">
        <v>45726</v>
      </c>
      <c r="F95" s="113">
        <v>719500</v>
      </c>
      <c r="G95" s="113">
        <v>719500</v>
      </c>
      <c r="H95" s="109">
        <f t="shared" si="2"/>
        <v>0</v>
      </c>
      <c r="I95" s="113" t="s">
        <v>53</v>
      </c>
    </row>
    <row r="96" spans="1:9" x14ac:dyDescent="0.3">
      <c r="A96" s="109">
        <v>13</v>
      </c>
      <c r="B96" s="110" t="s">
        <v>252</v>
      </c>
      <c r="C96" s="311" t="s">
        <v>6</v>
      </c>
      <c r="D96" s="111"/>
      <c r="E96" s="112">
        <v>45726</v>
      </c>
      <c r="F96" s="113">
        <v>0</v>
      </c>
      <c r="G96" s="113">
        <v>6500</v>
      </c>
      <c r="H96" s="109">
        <f t="shared" si="2"/>
        <v>6500</v>
      </c>
      <c r="I96" s="113" t="s">
        <v>241</v>
      </c>
    </row>
    <row r="97" spans="1:9" ht="41.4" x14ac:dyDescent="0.3">
      <c r="A97" s="109">
        <v>14</v>
      </c>
      <c r="B97" s="110" t="s">
        <v>272</v>
      </c>
      <c r="C97" s="311" t="s">
        <v>271</v>
      </c>
      <c r="D97" s="111">
        <v>45726</v>
      </c>
      <c r="E97" s="112">
        <v>45727</v>
      </c>
      <c r="F97" s="113">
        <v>18500000</v>
      </c>
      <c r="G97" s="113">
        <v>18505963</v>
      </c>
      <c r="H97" s="109">
        <f t="shared" si="2"/>
        <v>5963</v>
      </c>
      <c r="I97" s="113" t="s">
        <v>254</v>
      </c>
    </row>
    <row r="98" spans="1:9" ht="41.4" x14ac:dyDescent="0.3">
      <c r="A98" s="109">
        <v>15</v>
      </c>
      <c r="B98" s="110" t="s">
        <v>273</v>
      </c>
      <c r="C98" s="311" t="s">
        <v>271</v>
      </c>
      <c r="D98" s="111">
        <v>45726</v>
      </c>
      <c r="E98" s="112">
        <v>45727</v>
      </c>
      <c r="F98" s="113">
        <v>49200000</v>
      </c>
      <c r="G98" s="113">
        <v>49205963</v>
      </c>
      <c r="H98" s="109">
        <f t="shared" si="2"/>
        <v>5963</v>
      </c>
      <c r="I98" s="113" t="s">
        <v>254</v>
      </c>
    </row>
    <row r="99" spans="1:9" ht="41.4" x14ac:dyDescent="0.3">
      <c r="A99" s="109">
        <v>16</v>
      </c>
      <c r="B99" s="110" t="s">
        <v>273</v>
      </c>
      <c r="C99" s="311" t="s">
        <v>271</v>
      </c>
      <c r="D99" s="111">
        <v>45726</v>
      </c>
      <c r="E99" s="112">
        <v>45727</v>
      </c>
      <c r="F99" s="113">
        <v>46800000</v>
      </c>
      <c r="G99" s="113">
        <v>46805963</v>
      </c>
      <c r="H99" s="109">
        <f t="shared" si="2"/>
        <v>5963</v>
      </c>
      <c r="I99" s="113" t="s">
        <v>254</v>
      </c>
    </row>
    <row r="100" spans="1:9" ht="41.4" x14ac:dyDescent="0.3">
      <c r="A100" s="109">
        <v>17</v>
      </c>
      <c r="B100" s="110" t="s">
        <v>274</v>
      </c>
      <c r="C100" s="311">
        <v>5129587</v>
      </c>
      <c r="D100" s="111">
        <v>45721</v>
      </c>
      <c r="E100" s="112">
        <v>45729</v>
      </c>
      <c r="F100" s="113">
        <v>2184500</v>
      </c>
      <c r="G100" s="113">
        <v>2184500</v>
      </c>
      <c r="H100" s="109">
        <f t="shared" si="2"/>
        <v>0</v>
      </c>
      <c r="I100" s="113" t="s">
        <v>62</v>
      </c>
    </row>
    <row r="101" spans="1:9" ht="27.6" x14ac:dyDescent="0.3">
      <c r="A101" s="109">
        <v>18</v>
      </c>
      <c r="B101" s="110" t="s">
        <v>275</v>
      </c>
      <c r="C101" s="311">
        <v>5129577</v>
      </c>
      <c r="D101" s="111">
        <v>45712</v>
      </c>
      <c r="E101" s="112">
        <v>45729</v>
      </c>
      <c r="F101" s="113">
        <v>375000</v>
      </c>
      <c r="G101" s="113">
        <v>375000</v>
      </c>
      <c r="H101" s="109">
        <f t="shared" ref="H101:H109" si="3">G101-F101</f>
        <v>0</v>
      </c>
      <c r="I101" s="113" t="s">
        <v>256</v>
      </c>
    </row>
    <row r="102" spans="1:9" ht="41.4" x14ac:dyDescent="0.3">
      <c r="A102" s="109">
        <v>19</v>
      </c>
      <c r="B102" s="110" t="s">
        <v>276</v>
      </c>
      <c r="C102" s="311">
        <v>5129596</v>
      </c>
      <c r="D102" s="111">
        <v>45729</v>
      </c>
      <c r="E102" s="112">
        <v>45730</v>
      </c>
      <c r="F102" s="113">
        <v>522500</v>
      </c>
      <c r="G102" s="113">
        <v>525000</v>
      </c>
      <c r="H102" s="109">
        <f t="shared" si="3"/>
        <v>2500</v>
      </c>
      <c r="I102" s="113" t="s">
        <v>257</v>
      </c>
    </row>
    <row r="103" spans="1:9" ht="27.6" x14ac:dyDescent="0.3">
      <c r="A103" s="109">
        <v>20</v>
      </c>
      <c r="B103" s="110" t="s">
        <v>277</v>
      </c>
      <c r="C103" s="311">
        <v>5129583</v>
      </c>
      <c r="D103" s="111">
        <v>45719</v>
      </c>
      <c r="E103" s="112">
        <v>45733</v>
      </c>
      <c r="F103" s="113">
        <v>3244000</v>
      </c>
      <c r="G103" s="113">
        <v>3244000</v>
      </c>
      <c r="H103" s="109">
        <f t="shared" si="3"/>
        <v>0</v>
      </c>
      <c r="I103" s="113" t="s">
        <v>258</v>
      </c>
    </row>
    <row r="104" spans="1:9" ht="27.6" x14ac:dyDescent="0.3">
      <c r="A104" s="109">
        <v>21</v>
      </c>
      <c r="B104" s="110" t="s">
        <v>278</v>
      </c>
      <c r="C104" s="311">
        <v>5129594</v>
      </c>
      <c r="D104" s="111">
        <v>45723</v>
      </c>
      <c r="E104" s="112">
        <v>45886</v>
      </c>
      <c r="F104" s="113">
        <v>3741000</v>
      </c>
      <c r="G104" s="113">
        <v>3741000</v>
      </c>
      <c r="H104" s="109">
        <f t="shared" si="3"/>
        <v>0</v>
      </c>
      <c r="I104" s="113" t="s">
        <v>102</v>
      </c>
    </row>
    <row r="105" spans="1:9" ht="41.4" x14ac:dyDescent="0.3">
      <c r="A105" s="109">
        <v>22</v>
      </c>
      <c r="B105" s="306" t="s">
        <v>261</v>
      </c>
      <c r="C105" s="316"/>
      <c r="D105" s="241"/>
      <c r="E105" s="237">
        <v>45733</v>
      </c>
      <c r="F105" s="238">
        <v>1824000</v>
      </c>
      <c r="G105" s="238">
        <v>1824000</v>
      </c>
      <c r="H105" s="239">
        <f t="shared" si="3"/>
        <v>0</v>
      </c>
      <c r="I105" s="238" t="s">
        <v>246</v>
      </c>
    </row>
    <row r="106" spans="1:9" ht="27.6" x14ac:dyDescent="0.3">
      <c r="A106" s="109">
        <v>23</v>
      </c>
      <c r="B106" s="110" t="s">
        <v>279</v>
      </c>
      <c r="C106" s="311" t="s">
        <v>271</v>
      </c>
      <c r="D106" s="111">
        <v>45733</v>
      </c>
      <c r="E106" s="112">
        <v>45735</v>
      </c>
      <c r="F106" s="113">
        <v>4997500</v>
      </c>
      <c r="G106" s="113">
        <v>5003463</v>
      </c>
      <c r="H106" s="109">
        <f t="shared" si="3"/>
        <v>5963</v>
      </c>
      <c r="I106" s="113" t="s">
        <v>52</v>
      </c>
    </row>
    <row r="107" spans="1:9" ht="27.6" x14ac:dyDescent="0.3">
      <c r="A107" s="109">
        <v>24</v>
      </c>
      <c r="B107" s="110" t="s">
        <v>771</v>
      </c>
      <c r="C107" s="311" t="s">
        <v>280</v>
      </c>
      <c r="D107" s="111">
        <v>45733</v>
      </c>
      <c r="E107" s="112">
        <v>45735</v>
      </c>
      <c r="F107" s="113">
        <v>900000</v>
      </c>
      <c r="G107" s="113">
        <v>929813</v>
      </c>
      <c r="H107" s="109">
        <f t="shared" si="3"/>
        <v>29813</v>
      </c>
      <c r="I107" s="113" t="s">
        <v>259</v>
      </c>
    </row>
    <row r="108" spans="1:9" ht="41.4" x14ac:dyDescent="0.3">
      <c r="A108" s="109">
        <v>25</v>
      </c>
      <c r="B108" s="110" t="s">
        <v>283</v>
      </c>
      <c r="C108" s="311" t="s">
        <v>282</v>
      </c>
      <c r="D108" s="111">
        <v>45733</v>
      </c>
      <c r="E108" s="112">
        <v>45735</v>
      </c>
      <c r="F108" s="113">
        <v>783500</v>
      </c>
      <c r="G108" s="113">
        <v>813313</v>
      </c>
      <c r="H108" s="109">
        <f t="shared" si="3"/>
        <v>29813</v>
      </c>
      <c r="I108" s="113" t="s">
        <v>260</v>
      </c>
    </row>
    <row r="109" spans="1:9" ht="41.4" x14ac:dyDescent="0.3">
      <c r="A109" s="109">
        <v>26</v>
      </c>
      <c r="B109" s="110" t="s">
        <v>285</v>
      </c>
      <c r="C109" s="311" t="s">
        <v>284</v>
      </c>
      <c r="D109" s="111">
        <v>45733</v>
      </c>
      <c r="E109" s="112">
        <v>45735</v>
      </c>
      <c r="F109" s="113">
        <v>741000</v>
      </c>
      <c r="G109" s="113">
        <v>770813</v>
      </c>
      <c r="H109" s="109">
        <f t="shared" si="3"/>
        <v>29813</v>
      </c>
      <c r="I109" s="113" t="s">
        <v>260</v>
      </c>
    </row>
    <row r="110" spans="1:9" x14ac:dyDescent="0.3">
      <c r="A110" s="109">
        <v>27</v>
      </c>
      <c r="B110" s="110" t="s">
        <v>236</v>
      </c>
      <c r="C110" s="311" t="s">
        <v>208</v>
      </c>
      <c r="D110" s="111"/>
      <c r="E110" s="112">
        <v>45737</v>
      </c>
      <c r="F110" s="113"/>
      <c r="G110" s="113">
        <v>8944</v>
      </c>
      <c r="H110" s="109">
        <f>G110-F110</f>
        <v>8944</v>
      </c>
      <c r="I110" s="113" t="s">
        <v>241</v>
      </c>
    </row>
    <row r="111" spans="1:9" x14ac:dyDescent="0.3">
      <c r="A111" s="109">
        <v>28</v>
      </c>
      <c r="B111" s="114" t="s">
        <v>112</v>
      </c>
      <c r="C111" s="313"/>
      <c r="D111" s="115"/>
      <c r="E111" s="116"/>
      <c r="F111" s="117">
        <f>SUM(F85:F110)</f>
        <v>157326050</v>
      </c>
      <c r="G111" s="117">
        <f>SUM(G85:G110)</f>
        <v>157538612</v>
      </c>
      <c r="H111" s="118">
        <f>SUM(H85:H110)</f>
        <v>212562</v>
      </c>
      <c r="I111" s="119"/>
    </row>
    <row r="112" spans="1:9" x14ac:dyDescent="0.3">
      <c r="A112" s="120"/>
      <c r="B112" s="384" t="s">
        <v>287</v>
      </c>
      <c r="C112" s="385"/>
      <c r="D112" s="385"/>
      <c r="E112" s="386"/>
      <c r="F112" s="121">
        <f>SUM(F111+H111)</f>
        <v>157538612</v>
      </c>
      <c r="G112" s="122"/>
      <c r="H112" s="120"/>
      <c r="I112" s="122"/>
    </row>
    <row r="142" spans="1:9" ht="15.6" x14ac:dyDescent="0.3">
      <c r="A142" s="383" t="s">
        <v>774</v>
      </c>
      <c r="B142" s="383"/>
      <c r="C142" s="383"/>
      <c r="D142" s="383"/>
      <c r="E142" s="383"/>
      <c r="F142" s="383"/>
      <c r="G142" s="383"/>
      <c r="H142" s="383"/>
      <c r="I142" s="383"/>
    </row>
    <row r="143" spans="1:9" ht="41.4" x14ac:dyDescent="0.3">
      <c r="A143" s="106" t="s">
        <v>113</v>
      </c>
      <c r="B143" s="107" t="s">
        <v>104</v>
      </c>
      <c r="C143" s="310" t="s">
        <v>105</v>
      </c>
      <c r="D143" s="108" t="s">
        <v>106</v>
      </c>
      <c r="E143" s="108" t="s">
        <v>107</v>
      </c>
      <c r="F143" s="107" t="s">
        <v>108</v>
      </c>
      <c r="G143" s="107" t="s">
        <v>109</v>
      </c>
      <c r="H143" s="106" t="s">
        <v>110</v>
      </c>
      <c r="I143" s="107" t="s">
        <v>111</v>
      </c>
    </row>
    <row r="144" spans="1:9" ht="27.6" x14ac:dyDescent="0.3">
      <c r="A144" s="109">
        <v>1</v>
      </c>
      <c r="B144" s="110" t="s">
        <v>778</v>
      </c>
      <c r="C144" s="311">
        <v>5129597</v>
      </c>
      <c r="D144" s="111" t="s">
        <v>779</v>
      </c>
      <c r="E144" s="112">
        <v>45754</v>
      </c>
      <c r="F144" s="113">
        <v>3757000</v>
      </c>
      <c r="G144" s="113">
        <v>3757000</v>
      </c>
      <c r="H144" s="109">
        <f>G144-F144</f>
        <v>0</v>
      </c>
      <c r="I144" s="113" t="s">
        <v>102</v>
      </c>
    </row>
    <row r="145" spans="1:9" ht="41.4" x14ac:dyDescent="0.3">
      <c r="A145" s="109">
        <v>2</v>
      </c>
      <c r="B145" s="110" t="s">
        <v>780</v>
      </c>
      <c r="C145" s="311">
        <v>5129600</v>
      </c>
      <c r="D145" s="111">
        <v>45756</v>
      </c>
      <c r="E145" s="112">
        <v>45757</v>
      </c>
      <c r="F145" s="113">
        <v>13525000</v>
      </c>
      <c r="G145" s="113">
        <v>13525000</v>
      </c>
      <c r="H145" s="109">
        <f t="shared" ref="H145:H151" si="4">G145-F145</f>
        <v>0</v>
      </c>
      <c r="I145" s="113" t="s">
        <v>781</v>
      </c>
    </row>
    <row r="146" spans="1:9" ht="41.4" x14ac:dyDescent="0.3">
      <c r="A146" s="109">
        <v>3</v>
      </c>
      <c r="B146" s="320"/>
      <c r="C146" s="312">
        <v>5129602</v>
      </c>
      <c r="D146" s="236"/>
      <c r="E146" s="237">
        <v>45762</v>
      </c>
      <c r="F146" s="238"/>
      <c r="G146" s="238">
        <v>1500000</v>
      </c>
      <c r="H146" s="239">
        <f t="shared" si="4"/>
        <v>1500000</v>
      </c>
      <c r="I146" s="238" t="s">
        <v>783</v>
      </c>
    </row>
    <row r="147" spans="1:9" ht="41.4" x14ac:dyDescent="0.3">
      <c r="A147" s="109">
        <v>4</v>
      </c>
      <c r="B147" s="110" t="s">
        <v>782</v>
      </c>
      <c r="C147" s="311">
        <v>5129603</v>
      </c>
      <c r="D147" s="111"/>
      <c r="E147" s="112">
        <v>45762</v>
      </c>
      <c r="F147" s="113">
        <v>5980550</v>
      </c>
      <c r="G147" s="113">
        <v>5980550</v>
      </c>
      <c r="H147" s="109">
        <f>G147-F147</f>
        <v>0</v>
      </c>
      <c r="I147" s="113" t="s">
        <v>100</v>
      </c>
    </row>
    <row r="148" spans="1:9" ht="41.4" x14ac:dyDescent="0.3">
      <c r="A148" s="109">
        <v>5</v>
      </c>
      <c r="B148" s="110" t="s">
        <v>787</v>
      </c>
      <c r="C148" s="311">
        <v>5129599</v>
      </c>
      <c r="D148" s="111">
        <v>45756</v>
      </c>
      <c r="E148" s="112">
        <v>45764</v>
      </c>
      <c r="F148" s="113">
        <v>325000</v>
      </c>
      <c r="G148" s="113">
        <v>325000</v>
      </c>
      <c r="H148" s="109">
        <f t="shared" si="4"/>
        <v>0</v>
      </c>
      <c r="I148" s="113" t="s">
        <v>786</v>
      </c>
    </row>
    <row r="149" spans="1:9" ht="41.4" x14ac:dyDescent="0.3">
      <c r="A149" s="109">
        <v>6</v>
      </c>
      <c r="B149" s="110" t="s">
        <v>784</v>
      </c>
      <c r="C149" s="311">
        <v>5129598</v>
      </c>
      <c r="D149" s="111">
        <v>45755</v>
      </c>
      <c r="E149" s="112">
        <v>45764</v>
      </c>
      <c r="F149" s="113">
        <v>12000000</v>
      </c>
      <c r="G149" s="113">
        <v>12000000</v>
      </c>
      <c r="H149" s="109">
        <f t="shared" si="4"/>
        <v>0</v>
      </c>
      <c r="I149" s="113" t="s">
        <v>785</v>
      </c>
    </row>
    <row r="150" spans="1:9" ht="41.4" x14ac:dyDescent="0.3">
      <c r="A150" s="239">
        <v>7</v>
      </c>
      <c r="B150" s="320"/>
      <c r="C150" s="312">
        <v>5129601</v>
      </c>
      <c r="D150" s="236"/>
      <c r="E150" s="237">
        <v>45765</v>
      </c>
      <c r="F150" s="238"/>
      <c r="G150" s="238">
        <v>1500000</v>
      </c>
      <c r="H150" s="239">
        <f t="shared" si="4"/>
        <v>1500000</v>
      </c>
      <c r="I150" s="238" t="s">
        <v>790</v>
      </c>
    </row>
    <row r="151" spans="1:9" ht="41.4" x14ac:dyDescent="0.3">
      <c r="A151" s="109">
        <v>8</v>
      </c>
      <c r="B151" s="110" t="s">
        <v>788</v>
      </c>
      <c r="C151" s="311">
        <v>5129604</v>
      </c>
      <c r="D151" s="111">
        <v>45764</v>
      </c>
      <c r="E151" s="112">
        <v>45769</v>
      </c>
      <c r="F151" s="113">
        <v>2000000</v>
      </c>
      <c r="G151" s="113">
        <v>2000000</v>
      </c>
      <c r="H151" s="109">
        <f t="shared" si="4"/>
        <v>0</v>
      </c>
      <c r="I151" s="113" t="s">
        <v>789</v>
      </c>
    </row>
    <row r="152" spans="1:9" x14ac:dyDescent="0.3">
      <c r="A152" s="109">
        <v>28</v>
      </c>
      <c r="B152" s="114" t="s">
        <v>112</v>
      </c>
      <c r="C152" s="313"/>
      <c r="D152" s="115"/>
      <c r="E152" s="116"/>
      <c r="F152" s="117">
        <f>SUM(F144:F151)</f>
        <v>37587550</v>
      </c>
      <c r="G152" s="117">
        <f>SUM(G144:G151)</f>
        <v>40587550</v>
      </c>
      <c r="H152" s="118">
        <f>SUM(H144:H151)</f>
        <v>3000000</v>
      </c>
      <c r="I152" s="119"/>
    </row>
    <row r="153" spans="1:9" x14ac:dyDescent="0.3">
      <c r="A153" s="120"/>
      <c r="B153" s="384" t="s">
        <v>791</v>
      </c>
      <c r="C153" s="385"/>
      <c r="D153" s="385"/>
      <c r="E153" s="386"/>
      <c r="F153" s="121">
        <f>SUM(F152+H152)</f>
        <v>40587550</v>
      </c>
      <c r="G153" s="122"/>
      <c r="H153" s="120"/>
      <c r="I153" s="122"/>
    </row>
    <row r="159" spans="1:9" ht="15.6" x14ac:dyDescent="0.3">
      <c r="A159" s="383" t="s">
        <v>773</v>
      </c>
      <c r="B159" s="383"/>
      <c r="C159" s="383"/>
      <c r="D159" s="383"/>
      <c r="E159" s="383"/>
      <c r="F159" s="383"/>
      <c r="G159" s="383"/>
      <c r="H159" s="383"/>
      <c r="I159" s="383"/>
    </row>
    <row r="160" spans="1:9" ht="41.4" x14ac:dyDescent="0.3">
      <c r="A160" s="106" t="s">
        <v>113</v>
      </c>
      <c r="B160" s="107" t="s">
        <v>104</v>
      </c>
      <c r="C160" s="310" t="s">
        <v>105</v>
      </c>
      <c r="D160" s="108" t="s">
        <v>106</v>
      </c>
      <c r="E160" s="108" t="s">
        <v>107</v>
      </c>
      <c r="F160" s="107" t="s">
        <v>108</v>
      </c>
      <c r="G160" s="107" t="s">
        <v>109</v>
      </c>
      <c r="H160" s="106" t="s">
        <v>110</v>
      </c>
      <c r="I160" s="107" t="s">
        <v>111</v>
      </c>
    </row>
    <row r="161" spans="1:9" ht="55.2" x14ac:dyDescent="0.3">
      <c r="A161" s="109">
        <v>1</v>
      </c>
      <c r="B161" s="110" t="s">
        <v>795</v>
      </c>
      <c r="C161" s="312">
        <v>5129610</v>
      </c>
      <c r="D161" s="236">
        <v>45783</v>
      </c>
      <c r="E161" s="237">
        <v>45783</v>
      </c>
      <c r="F161" s="238">
        <v>930000</v>
      </c>
      <c r="G161" s="238">
        <v>930000</v>
      </c>
      <c r="H161" s="239">
        <f>G161-F161</f>
        <v>0</v>
      </c>
      <c r="I161" s="238" t="s">
        <v>776</v>
      </c>
    </row>
    <row r="162" spans="1:9" ht="82.8" x14ac:dyDescent="0.3">
      <c r="A162" s="109">
        <v>2</v>
      </c>
      <c r="B162" s="110" t="s">
        <v>796</v>
      </c>
      <c r="C162" s="311">
        <v>5129611</v>
      </c>
      <c r="D162" s="111">
        <v>45786</v>
      </c>
      <c r="E162" s="112">
        <v>45789</v>
      </c>
      <c r="F162" s="113">
        <v>1050000</v>
      </c>
      <c r="G162" s="113">
        <v>1050000</v>
      </c>
      <c r="H162" s="109">
        <f t="shared" ref="H162:H178" si="5">G162-F162</f>
        <v>0</v>
      </c>
      <c r="I162" s="113" t="s">
        <v>797</v>
      </c>
    </row>
    <row r="163" spans="1:9" ht="41.4" x14ac:dyDescent="0.3">
      <c r="A163" s="109">
        <v>4</v>
      </c>
      <c r="B163" s="110" t="s">
        <v>798</v>
      </c>
      <c r="C163" s="311">
        <v>4788264</v>
      </c>
      <c r="D163" s="111">
        <v>45877</v>
      </c>
      <c r="E163" s="112">
        <v>45790</v>
      </c>
      <c r="F163" s="113">
        <v>208800</v>
      </c>
      <c r="G163" s="113">
        <v>208800</v>
      </c>
      <c r="H163" s="109">
        <f t="shared" si="5"/>
        <v>0</v>
      </c>
      <c r="I163" s="113" t="s">
        <v>99</v>
      </c>
    </row>
    <row r="164" spans="1:9" ht="41.4" x14ac:dyDescent="0.3">
      <c r="A164" s="109">
        <v>5</v>
      </c>
      <c r="B164" s="246" t="s">
        <v>799</v>
      </c>
      <c r="C164" s="315" t="s">
        <v>800</v>
      </c>
      <c r="D164" s="247">
        <v>45789</v>
      </c>
      <c r="E164" s="248">
        <v>45791</v>
      </c>
      <c r="F164" s="249">
        <v>6055000</v>
      </c>
      <c r="G164" s="249">
        <v>6084813</v>
      </c>
      <c r="H164" s="250">
        <f t="shared" si="5"/>
        <v>29813</v>
      </c>
      <c r="I164" s="249" t="s">
        <v>801</v>
      </c>
    </row>
    <row r="165" spans="1:9" ht="27.6" x14ac:dyDescent="0.3">
      <c r="A165" s="109">
        <v>6</v>
      </c>
      <c r="B165" s="110" t="s">
        <v>802</v>
      </c>
      <c r="C165" s="311">
        <v>5129615</v>
      </c>
      <c r="D165" s="111">
        <v>45786</v>
      </c>
      <c r="E165" s="112">
        <v>45792</v>
      </c>
      <c r="F165" s="113">
        <v>525000</v>
      </c>
      <c r="G165" s="113">
        <v>525000</v>
      </c>
      <c r="H165" s="109">
        <f t="shared" si="5"/>
        <v>0</v>
      </c>
      <c r="I165" s="113" t="s">
        <v>803</v>
      </c>
    </row>
    <row r="166" spans="1:9" ht="27.6" x14ac:dyDescent="0.3">
      <c r="A166" s="109">
        <v>7</v>
      </c>
      <c r="B166" s="110" t="s">
        <v>804</v>
      </c>
      <c r="C166" s="311">
        <v>5129613</v>
      </c>
      <c r="D166" s="111">
        <v>45786</v>
      </c>
      <c r="E166" s="112">
        <v>45792</v>
      </c>
      <c r="F166" s="113">
        <v>750000</v>
      </c>
      <c r="G166" s="113">
        <v>750000</v>
      </c>
      <c r="H166" s="109">
        <f t="shared" si="5"/>
        <v>0</v>
      </c>
      <c r="I166" s="113" t="s">
        <v>805</v>
      </c>
    </row>
    <row r="167" spans="1:9" ht="41.4" x14ac:dyDescent="0.3">
      <c r="A167" s="109">
        <v>8</v>
      </c>
      <c r="B167" s="194" t="s">
        <v>806</v>
      </c>
      <c r="C167" s="311">
        <v>5129614</v>
      </c>
      <c r="D167" s="111">
        <v>45786</v>
      </c>
      <c r="E167" s="112">
        <v>45793</v>
      </c>
      <c r="F167" s="113">
        <v>275000</v>
      </c>
      <c r="G167" s="113">
        <v>275000</v>
      </c>
      <c r="H167" s="109">
        <f t="shared" si="5"/>
        <v>0</v>
      </c>
      <c r="I167" s="113" t="s">
        <v>807</v>
      </c>
    </row>
    <row r="168" spans="1:9" ht="27.6" x14ac:dyDescent="0.3">
      <c r="A168" s="109">
        <v>9</v>
      </c>
      <c r="B168" s="110" t="s">
        <v>808</v>
      </c>
      <c r="C168" s="311">
        <v>5129585</v>
      </c>
      <c r="D168" s="111">
        <v>45719</v>
      </c>
      <c r="E168" s="112">
        <v>45793</v>
      </c>
      <c r="F168" s="113">
        <v>1305000</v>
      </c>
      <c r="G168" s="113">
        <v>1305000</v>
      </c>
      <c r="H168" s="109">
        <f t="shared" si="5"/>
        <v>0</v>
      </c>
      <c r="I168" s="113" t="s">
        <v>809</v>
      </c>
    </row>
    <row r="169" spans="1:9" ht="41.4" x14ac:dyDescent="0.3">
      <c r="A169" s="109">
        <v>10</v>
      </c>
      <c r="B169" s="110" t="s">
        <v>810</v>
      </c>
      <c r="C169" s="311">
        <v>5129588</v>
      </c>
      <c r="D169" s="111">
        <v>45721</v>
      </c>
      <c r="E169" s="112">
        <v>45793</v>
      </c>
      <c r="F169" s="113">
        <v>147000</v>
      </c>
      <c r="G169" s="113">
        <v>147000</v>
      </c>
      <c r="H169" s="109">
        <f t="shared" si="5"/>
        <v>0</v>
      </c>
      <c r="I169" s="113" t="s">
        <v>811</v>
      </c>
    </row>
    <row r="170" spans="1:9" ht="41.4" x14ac:dyDescent="0.3">
      <c r="A170" s="109">
        <v>11</v>
      </c>
      <c r="B170" s="110" t="s">
        <v>812</v>
      </c>
      <c r="C170" s="311">
        <v>5129617</v>
      </c>
      <c r="D170" s="111">
        <v>45790</v>
      </c>
      <c r="E170" s="112">
        <v>45796</v>
      </c>
      <c r="F170" s="113">
        <v>6138000</v>
      </c>
      <c r="G170" s="113">
        <v>6138000</v>
      </c>
      <c r="H170" s="109">
        <f t="shared" si="5"/>
        <v>0</v>
      </c>
      <c r="I170" s="113" t="s">
        <v>813</v>
      </c>
    </row>
    <row r="171" spans="1:9" ht="41.4" x14ac:dyDescent="0.3">
      <c r="A171" s="109">
        <v>12</v>
      </c>
      <c r="B171" s="110" t="s">
        <v>814</v>
      </c>
      <c r="C171" s="311">
        <v>5129618</v>
      </c>
      <c r="D171" s="111">
        <v>45796</v>
      </c>
      <c r="E171" s="112">
        <v>45797</v>
      </c>
      <c r="F171" s="113">
        <v>4888000</v>
      </c>
      <c r="G171" s="113">
        <v>4888000</v>
      </c>
      <c r="H171" s="109">
        <f t="shared" si="5"/>
        <v>0</v>
      </c>
      <c r="I171" s="113" t="s">
        <v>815</v>
      </c>
    </row>
    <row r="172" spans="1:9" ht="41.4" x14ac:dyDescent="0.3">
      <c r="A172" s="109">
        <v>13</v>
      </c>
      <c r="B172" s="110" t="s">
        <v>816</v>
      </c>
      <c r="C172" s="311">
        <v>5129616</v>
      </c>
      <c r="D172" s="111">
        <v>45790</v>
      </c>
      <c r="E172" s="112">
        <v>45799</v>
      </c>
      <c r="F172" s="113">
        <v>420000</v>
      </c>
      <c r="G172" s="113">
        <v>420000</v>
      </c>
      <c r="H172" s="109">
        <f t="shared" si="5"/>
        <v>0</v>
      </c>
      <c r="I172" s="113" t="s">
        <v>817</v>
      </c>
    </row>
    <row r="173" spans="1:9" ht="82.8" x14ac:dyDescent="0.3">
      <c r="A173" s="109">
        <v>14</v>
      </c>
      <c r="B173" s="110" t="s">
        <v>818</v>
      </c>
      <c r="C173" s="311">
        <v>5129612</v>
      </c>
      <c r="D173" s="111">
        <v>45786</v>
      </c>
      <c r="E173" s="112">
        <v>45800</v>
      </c>
      <c r="F173" s="113">
        <v>1050000</v>
      </c>
      <c r="G173" s="113">
        <v>1050000</v>
      </c>
      <c r="H173" s="109">
        <f t="shared" si="5"/>
        <v>0</v>
      </c>
      <c r="I173" s="113" t="s">
        <v>819</v>
      </c>
    </row>
    <row r="174" spans="1:9" ht="41.4" x14ac:dyDescent="0.3">
      <c r="A174" s="109">
        <v>15</v>
      </c>
      <c r="B174" s="110" t="s">
        <v>820</v>
      </c>
      <c r="C174" s="311">
        <v>5129620</v>
      </c>
      <c r="D174" s="111">
        <v>45796</v>
      </c>
      <c r="E174" s="112">
        <v>45800</v>
      </c>
      <c r="F174" s="113">
        <v>3773000</v>
      </c>
      <c r="G174" s="113">
        <v>3773000</v>
      </c>
      <c r="H174" s="109">
        <f t="shared" si="5"/>
        <v>0</v>
      </c>
      <c r="I174" s="113" t="s">
        <v>102</v>
      </c>
    </row>
    <row r="175" spans="1:9" ht="41.4" x14ac:dyDescent="0.3">
      <c r="A175" s="109">
        <v>16</v>
      </c>
      <c r="B175" s="110" t="s">
        <v>821</v>
      </c>
      <c r="C175" s="311" t="s">
        <v>800</v>
      </c>
      <c r="D175" s="111">
        <v>45800</v>
      </c>
      <c r="E175" s="112">
        <v>45803</v>
      </c>
      <c r="F175" s="113">
        <v>1119000</v>
      </c>
      <c r="G175" s="113">
        <v>1148813</v>
      </c>
      <c r="H175" s="109">
        <f t="shared" si="5"/>
        <v>29813</v>
      </c>
      <c r="I175" s="113" t="s">
        <v>99</v>
      </c>
    </row>
    <row r="176" spans="1:9" ht="55.2" x14ac:dyDescent="0.3">
      <c r="A176" s="109">
        <v>17</v>
      </c>
      <c r="B176" s="110" t="s">
        <v>822</v>
      </c>
      <c r="C176" s="311" t="s">
        <v>800</v>
      </c>
      <c r="D176" s="111">
        <v>45800</v>
      </c>
      <c r="E176" s="112">
        <v>45803</v>
      </c>
      <c r="F176" s="113">
        <v>1100000</v>
      </c>
      <c r="G176" s="113">
        <v>1129813</v>
      </c>
      <c r="H176" s="109">
        <f t="shared" si="5"/>
        <v>29813</v>
      </c>
      <c r="I176" s="113" t="s">
        <v>823</v>
      </c>
    </row>
    <row r="177" spans="1:9" ht="41.4" x14ac:dyDescent="0.3">
      <c r="A177" s="109">
        <v>18</v>
      </c>
      <c r="B177" s="110" t="s">
        <v>824</v>
      </c>
      <c r="C177" s="311">
        <v>5129619</v>
      </c>
      <c r="D177" s="111">
        <v>45796</v>
      </c>
      <c r="E177" s="112">
        <v>45803</v>
      </c>
      <c r="F177" s="113">
        <v>1200000</v>
      </c>
      <c r="G177" s="113">
        <v>1200000</v>
      </c>
      <c r="H177" s="109">
        <f t="shared" si="5"/>
        <v>0</v>
      </c>
      <c r="I177" s="113" t="s">
        <v>825</v>
      </c>
    </row>
    <row r="178" spans="1:9" ht="41.4" x14ac:dyDescent="0.3">
      <c r="A178" s="109">
        <v>19</v>
      </c>
      <c r="B178" s="110" t="s">
        <v>826</v>
      </c>
      <c r="C178" s="311" t="s">
        <v>800</v>
      </c>
      <c r="D178" s="111">
        <v>45807</v>
      </c>
      <c r="E178" s="112">
        <v>45807</v>
      </c>
      <c r="F178" s="113">
        <v>7590045</v>
      </c>
      <c r="G178" s="113">
        <v>7596008</v>
      </c>
      <c r="H178" s="109">
        <f t="shared" si="5"/>
        <v>5963</v>
      </c>
      <c r="I178" s="113" t="s">
        <v>775</v>
      </c>
    </row>
    <row r="179" spans="1:9" x14ac:dyDescent="0.3">
      <c r="A179" s="109">
        <v>28</v>
      </c>
      <c r="B179" s="114" t="s">
        <v>112</v>
      </c>
      <c r="C179" s="313"/>
      <c r="D179" s="115"/>
      <c r="E179" s="116"/>
      <c r="F179" s="117">
        <f>SUM(F161:F178)</f>
        <v>38523845</v>
      </c>
      <c r="G179" s="117">
        <f>SUM(G161:G178)</f>
        <v>38619247</v>
      </c>
      <c r="H179" s="118">
        <f>SUM(H161:H178)</f>
        <v>95402</v>
      </c>
      <c r="I179" s="119"/>
    </row>
    <row r="180" spans="1:9" x14ac:dyDescent="0.3">
      <c r="A180" s="120"/>
      <c r="B180" s="384" t="s">
        <v>827</v>
      </c>
      <c r="C180" s="385"/>
      <c r="D180" s="385"/>
      <c r="E180" s="386"/>
      <c r="F180" s="121">
        <f>SUM(F179+H179)</f>
        <v>38619247</v>
      </c>
      <c r="G180" s="122"/>
      <c r="H180" s="120"/>
      <c r="I180" s="122"/>
    </row>
    <row r="181" spans="1:9" x14ac:dyDescent="0.3">
      <c r="B181"/>
      <c r="C181"/>
      <c r="D181"/>
    </row>
    <row r="182" spans="1:9" x14ac:dyDescent="0.3">
      <c r="B182"/>
      <c r="C182"/>
      <c r="D182"/>
    </row>
    <row r="183" spans="1:9" x14ac:dyDescent="0.3">
      <c r="B183"/>
      <c r="C183"/>
      <c r="D183"/>
    </row>
    <row r="184" spans="1:9" x14ac:dyDescent="0.3">
      <c r="B184"/>
      <c r="C184"/>
      <c r="D184"/>
    </row>
    <row r="185" spans="1:9" x14ac:dyDescent="0.3">
      <c r="B185"/>
      <c r="C185"/>
      <c r="D185"/>
    </row>
    <row r="186" spans="1:9" ht="15.6" x14ac:dyDescent="0.3">
      <c r="A186" s="383" t="s">
        <v>772</v>
      </c>
      <c r="B186" s="383"/>
      <c r="C186" s="383"/>
      <c r="D186" s="383"/>
      <c r="E186" s="383"/>
      <c r="F186" s="383"/>
      <c r="G186" s="383"/>
      <c r="H186" s="383"/>
      <c r="I186" s="383"/>
    </row>
    <row r="187" spans="1:9" ht="41.4" x14ac:dyDescent="0.3">
      <c r="A187" s="106" t="s">
        <v>113</v>
      </c>
      <c r="B187" s="107" t="s">
        <v>104</v>
      </c>
      <c r="C187" s="310" t="s">
        <v>105</v>
      </c>
      <c r="D187" s="108" t="s">
        <v>106</v>
      </c>
      <c r="E187" s="108" t="s">
        <v>107</v>
      </c>
      <c r="F187" s="107" t="s">
        <v>108</v>
      </c>
      <c r="G187" s="107" t="s">
        <v>109</v>
      </c>
      <c r="H187" s="106" t="s">
        <v>110</v>
      </c>
      <c r="I187" s="107" t="s">
        <v>111</v>
      </c>
    </row>
    <row r="188" spans="1:9" ht="41.4" x14ac:dyDescent="0.3">
      <c r="A188" s="109">
        <v>1</v>
      </c>
      <c r="B188" s="110" t="s">
        <v>830</v>
      </c>
      <c r="C188" s="312" t="s">
        <v>831</v>
      </c>
      <c r="D188" s="236">
        <v>45807</v>
      </c>
      <c r="E188" s="237">
        <v>45810</v>
      </c>
      <c r="F188" s="238">
        <v>1000000</v>
      </c>
      <c r="G188" s="238">
        <v>1005963</v>
      </c>
      <c r="H188" s="239">
        <f>G188-F188</f>
        <v>5963</v>
      </c>
      <c r="I188" s="238" t="s">
        <v>226</v>
      </c>
    </row>
    <row r="189" spans="1:9" ht="41.4" x14ac:dyDescent="0.3">
      <c r="A189" s="109">
        <v>2</v>
      </c>
      <c r="B189" s="110" t="s">
        <v>830</v>
      </c>
      <c r="C189" s="311" t="s">
        <v>831</v>
      </c>
      <c r="D189" s="111">
        <v>45807</v>
      </c>
      <c r="E189" s="112">
        <v>45810</v>
      </c>
      <c r="F189" s="113">
        <v>1500000</v>
      </c>
      <c r="G189" s="113">
        <v>1529813</v>
      </c>
      <c r="H189" s="109">
        <f t="shared" ref="H189:H202" si="6">G189-F189</f>
        <v>29813</v>
      </c>
      <c r="I189" s="113" t="s">
        <v>832</v>
      </c>
    </row>
    <row r="190" spans="1:9" ht="41.4" x14ac:dyDescent="0.3">
      <c r="A190" s="109">
        <v>4</v>
      </c>
      <c r="B190" s="110" t="s">
        <v>833</v>
      </c>
      <c r="C190" s="311" t="s">
        <v>834</v>
      </c>
      <c r="D190" s="111">
        <v>45807</v>
      </c>
      <c r="E190" s="112">
        <v>45810</v>
      </c>
      <c r="F190" s="113">
        <v>6464743</v>
      </c>
      <c r="G190" s="113">
        <v>6494556</v>
      </c>
      <c r="H190" s="109">
        <f t="shared" si="6"/>
        <v>29813</v>
      </c>
      <c r="I190" s="113" t="s">
        <v>835</v>
      </c>
    </row>
    <row r="191" spans="1:9" ht="41.4" x14ac:dyDescent="0.3">
      <c r="A191" s="109">
        <v>5</v>
      </c>
      <c r="B191" s="246" t="s">
        <v>836</v>
      </c>
      <c r="C191" s="315">
        <v>5345658</v>
      </c>
      <c r="D191" s="247">
        <v>45826</v>
      </c>
      <c r="E191" s="248">
        <v>45827</v>
      </c>
      <c r="F191" s="249">
        <v>1200000</v>
      </c>
      <c r="G191" s="249">
        <v>1200000</v>
      </c>
      <c r="H191" s="250">
        <f t="shared" si="6"/>
        <v>0</v>
      </c>
      <c r="I191" s="249" t="s">
        <v>811</v>
      </c>
    </row>
    <row r="192" spans="1:9" ht="41.4" x14ac:dyDescent="0.3">
      <c r="A192" s="109">
        <v>6</v>
      </c>
      <c r="B192" s="110" t="s">
        <v>837</v>
      </c>
      <c r="C192" s="311">
        <v>5345650</v>
      </c>
      <c r="D192" s="111">
        <v>45826</v>
      </c>
      <c r="E192" s="112">
        <v>45827</v>
      </c>
      <c r="F192" s="113">
        <v>577500</v>
      </c>
      <c r="G192" s="113">
        <v>577500</v>
      </c>
      <c r="H192" s="109">
        <f t="shared" si="6"/>
        <v>0</v>
      </c>
      <c r="I192" s="113" t="s">
        <v>52</v>
      </c>
    </row>
    <row r="193" spans="1:9" ht="27.6" x14ac:dyDescent="0.3">
      <c r="A193" s="109">
        <v>7</v>
      </c>
      <c r="B193" s="246" t="s">
        <v>838</v>
      </c>
      <c r="C193" s="311">
        <v>5345647</v>
      </c>
      <c r="D193" s="111">
        <v>45826</v>
      </c>
      <c r="E193" s="112">
        <v>45827</v>
      </c>
      <c r="F193" s="113">
        <v>645000</v>
      </c>
      <c r="G193" s="113">
        <v>645000</v>
      </c>
      <c r="H193" s="109">
        <f t="shared" si="6"/>
        <v>0</v>
      </c>
      <c r="I193" s="113" t="s">
        <v>839</v>
      </c>
    </row>
    <row r="194" spans="1:9" ht="41.4" x14ac:dyDescent="0.3">
      <c r="A194" s="109">
        <v>8</v>
      </c>
      <c r="B194" s="194" t="s">
        <v>840</v>
      </c>
      <c r="C194" s="311" t="s">
        <v>831</v>
      </c>
      <c r="D194" s="111">
        <v>45827</v>
      </c>
      <c r="E194" s="112">
        <v>45828</v>
      </c>
      <c r="F194" s="113">
        <v>643000</v>
      </c>
      <c r="G194" s="113">
        <v>648963</v>
      </c>
      <c r="H194" s="109">
        <f t="shared" si="6"/>
        <v>5963</v>
      </c>
      <c r="I194" s="113" t="s">
        <v>841</v>
      </c>
    </row>
    <row r="195" spans="1:9" ht="27.6" x14ac:dyDescent="0.3">
      <c r="A195" s="109">
        <v>9</v>
      </c>
      <c r="B195" s="110" t="s">
        <v>842</v>
      </c>
      <c r="C195" s="311">
        <v>5345648</v>
      </c>
      <c r="D195" s="111">
        <v>45826</v>
      </c>
      <c r="E195" s="112">
        <v>45828</v>
      </c>
      <c r="F195" s="113">
        <v>10500000</v>
      </c>
      <c r="G195" s="113">
        <v>10500000</v>
      </c>
      <c r="H195" s="109">
        <f t="shared" si="6"/>
        <v>0</v>
      </c>
      <c r="I195" s="113" t="s">
        <v>91</v>
      </c>
    </row>
    <row r="196" spans="1:9" ht="41.4" x14ac:dyDescent="0.3">
      <c r="A196" s="109">
        <v>10</v>
      </c>
      <c r="B196" s="110" t="s">
        <v>843</v>
      </c>
      <c r="C196" s="311">
        <v>5345646</v>
      </c>
      <c r="D196" s="111">
        <v>45826</v>
      </c>
      <c r="E196" s="112">
        <v>45828</v>
      </c>
      <c r="F196" s="113">
        <v>12650000</v>
      </c>
      <c r="G196" s="113">
        <v>12650000</v>
      </c>
      <c r="H196" s="109">
        <f t="shared" si="6"/>
        <v>0</v>
      </c>
      <c r="I196" s="113" t="s">
        <v>844</v>
      </c>
    </row>
    <row r="197" spans="1:9" ht="27.6" x14ac:dyDescent="0.3">
      <c r="A197" s="109">
        <v>11</v>
      </c>
      <c r="B197" s="110" t="s">
        <v>845</v>
      </c>
      <c r="C197" s="311">
        <v>5345651</v>
      </c>
      <c r="D197" s="111">
        <v>45826</v>
      </c>
      <c r="E197" s="112">
        <v>45831</v>
      </c>
      <c r="F197" s="113">
        <v>3457000</v>
      </c>
      <c r="G197" s="113">
        <v>3457000</v>
      </c>
      <c r="H197" s="109">
        <f t="shared" si="6"/>
        <v>0</v>
      </c>
      <c r="I197" s="113" t="s">
        <v>102</v>
      </c>
    </row>
    <row r="198" spans="1:9" ht="41.4" x14ac:dyDescent="0.3">
      <c r="A198" s="109">
        <v>12</v>
      </c>
      <c r="B198" s="110" t="s">
        <v>846</v>
      </c>
      <c r="C198" s="311">
        <v>5345657</v>
      </c>
      <c r="D198" s="111">
        <v>45826</v>
      </c>
      <c r="E198" s="112">
        <v>45831</v>
      </c>
      <c r="F198" s="113">
        <v>2650800</v>
      </c>
      <c r="G198" s="113">
        <v>2650800</v>
      </c>
      <c r="H198" s="109">
        <f t="shared" si="6"/>
        <v>0</v>
      </c>
      <c r="I198" s="113" t="s">
        <v>847</v>
      </c>
    </row>
    <row r="199" spans="1:9" ht="41.4" x14ac:dyDescent="0.3">
      <c r="A199" s="109">
        <v>13</v>
      </c>
      <c r="B199" s="110" t="s">
        <v>848</v>
      </c>
      <c r="C199" s="311">
        <v>5129589</v>
      </c>
      <c r="D199" s="111">
        <v>45721</v>
      </c>
      <c r="E199" s="112">
        <v>45832</v>
      </c>
      <c r="F199" s="113">
        <v>130000</v>
      </c>
      <c r="G199" s="113">
        <v>130000</v>
      </c>
      <c r="H199" s="109">
        <f t="shared" si="6"/>
        <v>0</v>
      </c>
      <c r="I199" s="113" t="s">
        <v>849</v>
      </c>
    </row>
    <row r="200" spans="1:9" ht="41.4" x14ac:dyDescent="0.3">
      <c r="A200" s="109">
        <v>14</v>
      </c>
      <c r="B200" s="110" t="s">
        <v>850</v>
      </c>
      <c r="C200" s="311">
        <v>5345656</v>
      </c>
      <c r="D200" s="111">
        <v>45826</v>
      </c>
      <c r="E200" s="112">
        <v>45833</v>
      </c>
      <c r="F200" s="113">
        <v>4300000</v>
      </c>
      <c r="G200" s="113">
        <v>4300000</v>
      </c>
      <c r="H200" s="109">
        <f t="shared" si="6"/>
        <v>0</v>
      </c>
      <c r="I200" s="113" t="s">
        <v>851</v>
      </c>
    </row>
    <row r="201" spans="1:9" ht="41.4" x14ac:dyDescent="0.3">
      <c r="A201" s="109">
        <v>15</v>
      </c>
      <c r="B201" s="110" t="s">
        <v>852</v>
      </c>
      <c r="C201" s="311">
        <v>5345659</v>
      </c>
      <c r="D201" s="111">
        <v>45835</v>
      </c>
      <c r="E201" s="112">
        <v>45838</v>
      </c>
      <c r="F201" s="113">
        <v>447500</v>
      </c>
      <c r="G201" s="113">
        <v>447500</v>
      </c>
      <c r="H201" s="109">
        <f t="shared" si="6"/>
        <v>0</v>
      </c>
      <c r="I201" s="113" t="s">
        <v>65</v>
      </c>
    </row>
    <row r="202" spans="1:9" ht="27.6" x14ac:dyDescent="0.3">
      <c r="A202" s="109">
        <v>16</v>
      </c>
      <c r="B202" s="110" t="s">
        <v>850</v>
      </c>
      <c r="C202" s="311">
        <v>5345655</v>
      </c>
      <c r="D202" s="111">
        <v>45826</v>
      </c>
      <c r="E202" s="112">
        <v>45838</v>
      </c>
      <c r="F202" s="113">
        <v>3420000</v>
      </c>
      <c r="G202" s="113">
        <v>3420000</v>
      </c>
      <c r="H202" s="109">
        <f t="shared" si="6"/>
        <v>0</v>
      </c>
      <c r="I202" s="113" t="s">
        <v>853</v>
      </c>
    </row>
    <row r="203" spans="1:9" x14ac:dyDescent="0.3">
      <c r="A203" s="109">
        <v>17</v>
      </c>
      <c r="B203" s="114" t="s">
        <v>112</v>
      </c>
      <c r="C203" s="313"/>
      <c r="D203" s="115"/>
      <c r="E203" s="116"/>
      <c r="F203" s="117">
        <f>SUM(F188:F202)</f>
        <v>49585543</v>
      </c>
      <c r="G203" s="117">
        <f>SUM(G188:G202)</f>
        <v>49657095</v>
      </c>
      <c r="H203" s="118">
        <f>SUM(H188:H202)</f>
        <v>71552</v>
      </c>
      <c r="I203" s="119"/>
    </row>
    <row r="204" spans="1:9" x14ac:dyDescent="0.3">
      <c r="A204" s="120"/>
      <c r="B204" s="384" t="s">
        <v>855</v>
      </c>
      <c r="C204" s="385"/>
      <c r="D204" s="385"/>
      <c r="E204" s="386"/>
      <c r="F204" s="121">
        <f>SUM(F203+H203)</f>
        <v>49657095</v>
      </c>
      <c r="G204" s="122"/>
      <c r="H204" s="120"/>
      <c r="I204" s="122"/>
    </row>
    <row r="227" spans="1:9" ht="15.6" x14ac:dyDescent="0.3">
      <c r="A227" s="387" t="s">
        <v>856</v>
      </c>
      <c r="B227" s="388"/>
      <c r="C227" s="388"/>
      <c r="D227" s="388"/>
      <c r="E227" s="388"/>
      <c r="F227" s="388"/>
      <c r="G227" s="388"/>
      <c r="H227" s="388"/>
      <c r="I227" s="389"/>
    </row>
    <row r="228" spans="1:9" ht="41.4" x14ac:dyDescent="0.3">
      <c r="A228" s="106" t="s">
        <v>113</v>
      </c>
      <c r="B228" s="107" t="s">
        <v>104</v>
      </c>
      <c r="C228" s="310" t="s">
        <v>105</v>
      </c>
      <c r="D228" s="108" t="s">
        <v>106</v>
      </c>
      <c r="E228" s="108" t="s">
        <v>107</v>
      </c>
      <c r="F228" s="107" t="s">
        <v>108</v>
      </c>
      <c r="G228" s="107" t="s">
        <v>109</v>
      </c>
      <c r="H228" s="106" t="s">
        <v>110</v>
      </c>
      <c r="I228" s="107" t="s">
        <v>111</v>
      </c>
    </row>
    <row r="229" spans="1:9" ht="41.4" x14ac:dyDescent="0.3">
      <c r="A229" s="109">
        <v>1</v>
      </c>
      <c r="B229" s="110" t="s">
        <v>860</v>
      </c>
      <c r="C229" s="317">
        <v>5345654</v>
      </c>
      <c r="D229" s="111">
        <v>45818</v>
      </c>
      <c r="E229" s="112">
        <v>45840</v>
      </c>
      <c r="F229" s="113">
        <v>1500000</v>
      </c>
      <c r="G229" s="113">
        <v>1500000</v>
      </c>
      <c r="H229" s="109">
        <f>G229-F229</f>
        <v>0</v>
      </c>
      <c r="I229" s="113" t="s">
        <v>861</v>
      </c>
    </row>
    <row r="230" spans="1:9" ht="27.6" x14ac:dyDescent="0.3">
      <c r="A230" s="109">
        <v>2</v>
      </c>
      <c r="B230" s="110" t="s">
        <v>860</v>
      </c>
      <c r="C230" s="317">
        <v>5345661</v>
      </c>
      <c r="D230" s="111">
        <v>45804</v>
      </c>
      <c r="E230" s="112">
        <v>45846</v>
      </c>
      <c r="F230" s="113">
        <v>676500</v>
      </c>
      <c r="G230" s="113">
        <v>676500</v>
      </c>
      <c r="H230" s="109">
        <f t="shared" ref="H230:H244" si="7">G230-F230</f>
        <v>0</v>
      </c>
      <c r="I230" s="113" t="s">
        <v>862</v>
      </c>
    </row>
    <row r="231" spans="1:9" ht="27.6" x14ac:dyDescent="0.3">
      <c r="A231" s="109">
        <v>3</v>
      </c>
      <c r="B231" s="110" t="s">
        <v>863</v>
      </c>
      <c r="C231" s="317">
        <v>5345652</v>
      </c>
      <c r="D231" s="111">
        <v>45826</v>
      </c>
      <c r="E231" s="112">
        <v>45849</v>
      </c>
      <c r="F231" s="113">
        <v>3937000</v>
      </c>
      <c r="G231" s="113">
        <v>3937000</v>
      </c>
      <c r="H231" s="109">
        <f t="shared" si="7"/>
        <v>0</v>
      </c>
      <c r="I231" s="113" t="s">
        <v>864</v>
      </c>
    </row>
    <row r="232" spans="1:9" ht="27.6" x14ac:dyDescent="0.3">
      <c r="A232" s="109">
        <v>4</v>
      </c>
      <c r="B232" s="246" t="s">
        <v>865</v>
      </c>
      <c r="C232" s="318">
        <v>5345660</v>
      </c>
      <c r="D232" s="247">
        <v>45826</v>
      </c>
      <c r="E232" s="248">
        <v>45854</v>
      </c>
      <c r="F232" s="249">
        <v>50000</v>
      </c>
      <c r="G232" s="249">
        <v>50000</v>
      </c>
      <c r="H232" s="250">
        <f t="shared" si="7"/>
        <v>0</v>
      </c>
      <c r="I232" s="249" t="s">
        <v>866</v>
      </c>
    </row>
    <row r="233" spans="1:9" ht="41.4" x14ac:dyDescent="0.3">
      <c r="A233" s="109"/>
      <c r="B233" s="246" t="s">
        <v>867</v>
      </c>
      <c r="C233" s="318">
        <v>5345668</v>
      </c>
      <c r="D233" s="247">
        <v>45852</v>
      </c>
      <c r="E233" s="248">
        <v>45854</v>
      </c>
      <c r="F233" s="249">
        <v>635000</v>
      </c>
      <c r="G233" s="249">
        <v>635000</v>
      </c>
      <c r="H233" s="250">
        <f t="shared" si="7"/>
        <v>0</v>
      </c>
      <c r="I233" s="249" t="s">
        <v>868</v>
      </c>
    </row>
    <row r="234" spans="1:9" ht="27.6" x14ac:dyDescent="0.3">
      <c r="A234" s="109">
        <v>5</v>
      </c>
      <c r="B234" s="110" t="s">
        <v>869</v>
      </c>
      <c r="C234" s="311">
        <v>5345665</v>
      </c>
      <c r="D234" s="111">
        <v>45835</v>
      </c>
      <c r="E234" s="112">
        <v>45854</v>
      </c>
      <c r="F234" s="113">
        <v>125000</v>
      </c>
      <c r="G234" s="113">
        <v>125000</v>
      </c>
      <c r="H234" s="109">
        <f t="shared" si="7"/>
        <v>0</v>
      </c>
      <c r="I234" s="113" t="s">
        <v>870</v>
      </c>
    </row>
    <row r="235" spans="1:9" ht="41.4" x14ac:dyDescent="0.3">
      <c r="A235" s="109">
        <v>6</v>
      </c>
      <c r="B235" s="110" t="s">
        <v>871</v>
      </c>
      <c r="C235" s="311">
        <v>5345662</v>
      </c>
      <c r="D235" s="111">
        <v>45804</v>
      </c>
      <c r="E235" s="112">
        <v>45854</v>
      </c>
      <c r="F235" s="113">
        <v>744250</v>
      </c>
      <c r="G235" s="113">
        <v>744250</v>
      </c>
      <c r="H235" s="109">
        <f t="shared" si="7"/>
        <v>0</v>
      </c>
      <c r="I235" s="113" t="s">
        <v>862</v>
      </c>
    </row>
    <row r="236" spans="1:9" ht="27.6" x14ac:dyDescent="0.3">
      <c r="A236" s="109">
        <v>7</v>
      </c>
      <c r="B236" s="194" t="s">
        <v>872</v>
      </c>
      <c r="C236" s="311">
        <v>5345649</v>
      </c>
      <c r="D236" s="111">
        <v>45826</v>
      </c>
      <c r="E236" s="112">
        <v>45854</v>
      </c>
      <c r="F236" s="113">
        <v>75000</v>
      </c>
      <c r="G236" s="113">
        <v>75000</v>
      </c>
      <c r="H236" s="109">
        <f t="shared" si="7"/>
        <v>0</v>
      </c>
      <c r="I236" s="113" t="s">
        <v>873</v>
      </c>
    </row>
    <row r="237" spans="1:9" ht="27.6" x14ac:dyDescent="0.3">
      <c r="A237" s="109">
        <v>8</v>
      </c>
      <c r="B237" s="110" t="s">
        <v>874</v>
      </c>
      <c r="C237" s="311">
        <v>5345664</v>
      </c>
      <c r="D237" s="111">
        <v>45804</v>
      </c>
      <c r="E237" s="112">
        <v>45855</v>
      </c>
      <c r="F237" s="113">
        <v>963000</v>
      </c>
      <c r="G237" s="113">
        <v>963000</v>
      </c>
      <c r="H237" s="109">
        <f t="shared" si="7"/>
        <v>0</v>
      </c>
      <c r="I237" s="113" t="s">
        <v>875</v>
      </c>
    </row>
    <row r="238" spans="1:9" ht="55.2" x14ac:dyDescent="0.3">
      <c r="A238" s="109">
        <v>9</v>
      </c>
      <c r="B238" s="110" t="s">
        <v>876</v>
      </c>
      <c r="C238" s="311">
        <v>5345669</v>
      </c>
      <c r="D238" s="111">
        <v>45852</v>
      </c>
      <c r="E238" s="112">
        <v>45859</v>
      </c>
      <c r="F238" s="113">
        <v>1865640</v>
      </c>
      <c r="G238" s="113">
        <v>1865640</v>
      </c>
      <c r="H238" s="109">
        <f t="shared" si="7"/>
        <v>0</v>
      </c>
      <c r="I238" s="113" t="s">
        <v>877</v>
      </c>
    </row>
    <row r="239" spans="1:9" ht="41.4" x14ac:dyDescent="0.3">
      <c r="A239" s="109">
        <v>10</v>
      </c>
      <c r="B239" s="110" t="s">
        <v>878</v>
      </c>
      <c r="C239" s="311">
        <v>5345671</v>
      </c>
      <c r="D239" s="111">
        <v>45856</v>
      </c>
      <c r="E239" s="112">
        <v>45859</v>
      </c>
      <c r="F239" s="113">
        <v>4153000</v>
      </c>
      <c r="G239" s="113">
        <v>4153000</v>
      </c>
      <c r="H239" s="109">
        <f>G239-F239</f>
        <v>0</v>
      </c>
      <c r="I239" s="113" t="s">
        <v>102</v>
      </c>
    </row>
    <row r="240" spans="1:9" ht="69" x14ac:dyDescent="0.3">
      <c r="A240" s="109">
        <v>11</v>
      </c>
      <c r="B240" s="110" t="s">
        <v>880</v>
      </c>
      <c r="C240" s="311">
        <v>5345663</v>
      </c>
      <c r="D240" s="111">
        <v>45835</v>
      </c>
      <c r="E240" s="112">
        <v>45859</v>
      </c>
      <c r="F240" s="113">
        <v>1100000</v>
      </c>
      <c r="G240" s="113">
        <v>1100000</v>
      </c>
      <c r="H240" s="109">
        <f t="shared" si="7"/>
        <v>0</v>
      </c>
      <c r="I240" s="113" t="s">
        <v>879</v>
      </c>
    </row>
    <row r="241" spans="1:9" ht="27.6" x14ac:dyDescent="0.3">
      <c r="A241" s="109">
        <v>12</v>
      </c>
      <c r="B241" s="110" t="s">
        <v>881</v>
      </c>
      <c r="C241" s="311">
        <v>5345673</v>
      </c>
      <c r="D241" s="111">
        <v>45863</v>
      </c>
      <c r="E241" s="112">
        <v>45863</v>
      </c>
      <c r="F241" s="113">
        <v>730000</v>
      </c>
      <c r="G241" s="113">
        <v>730000</v>
      </c>
      <c r="H241" s="109">
        <f t="shared" si="7"/>
        <v>0</v>
      </c>
      <c r="I241" s="113" t="s">
        <v>877</v>
      </c>
    </row>
    <row r="242" spans="1:9" ht="41.4" x14ac:dyDescent="0.3">
      <c r="A242" s="109">
        <v>13</v>
      </c>
      <c r="B242" s="110" t="s">
        <v>882</v>
      </c>
      <c r="C242" s="311">
        <v>5345674</v>
      </c>
      <c r="D242" s="111">
        <v>45863</v>
      </c>
      <c r="E242" s="112">
        <v>45863</v>
      </c>
      <c r="F242" s="113">
        <v>5533750</v>
      </c>
      <c r="G242" s="113">
        <v>5533750</v>
      </c>
      <c r="H242" s="109">
        <f t="shared" si="7"/>
        <v>0</v>
      </c>
      <c r="I242" s="113" t="s">
        <v>883</v>
      </c>
    </row>
    <row r="243" spans="1:9" ht="41.4" x14ac:dyDescent="0.3">
      <c r="A243" s="109">
        <v>14</v>
      </c>
      <c r="B243" s="110" t="s">
        <v>884</v>
      </c>
      <c r="C243" s="311">
        <v>5345675</v>
      </c>
      <c r="D243" s="111">
        <v>45855</v>
      </c>
      <c r="E243" s="112">
        <v>45868</v>
      </c>
      <c r="F243" s="113">
        <v>1050000</v>
      </c>
      <c r="G243" s="113">
        <v>1050000</v>
      </c>
      <c r="H243" s="109">
        <f t="shared" si="7"/>
        <v>0</v>
      </c>
      <c r="I243" s="113" t="s">
        <v>98</v>
      </c>
    </row>
    <row r="244" spans="1:9" ht="69" x14ac:dyDescent="0.3">
      <c r="A244" s="109">
        <v>15</v>
      </c>
      <c r="B244" s="110" t="s">
        <v>885</v>
      </c>
      <c r="C244" s="311">
        <v>5345675</v>
      </c>
      <c r="D244" s="111">
        <v>45866</v>
      </c>
      <c r="E244" s="112">
        <v>45868</v>
      </c>
      <c r="F244" s="113">
        <v>1550000</v>
      </c>
      <c r="G244" s="113">
        <v>1550000</v>
      </c>
      <c r="H244" s="109">
        <f t="shared" si="7"/>
        <v>0</v>
      </c>
      <c r="I244" s="113" t="s">
        <v>886</v>
      </c>
    </row>
    <row r="245" spans="1:9" x14ac:dyDescent="0.3">
      <c r="A245" s="109">
        <v>16</v>
      </c>
      <c r="B245" s="114" t="s">
        <v>112</v>
      </c>
      <c r="C245" s="313"/>
      <c r="D245" s="115"/>
      <c r="E245" s="116"/>
      <c r="F245" s="117">
        <f>SUM(F229:F244)</f>
        <v>24688140</v>
      </c>
      <c r="G245" s="117">
        <f>SUM(G229:G244)</f>
        <v>24688140</v>
      </c>
      <c r="H245" s="118">
        <f>SUM(H229:H244)</f>
        <v>0</v>
      </c>
      <c r="I245" s="119"/>
    </row>
    <row r="246" spans="1:9" x14ac:dyDescent="0.3">
      <c r="A246" s="120"/>
      <c r="B246" s="384" t="s">
        <v>859</v>
      </c>
      <c r="C246" s="385"/>
      <c r="D246" s="385"/>
      <c r="E246" s="386"/>
      <c r="F246" s="121">
        <f>SUM(F245+H245)</f>
        <v>24688140</v>
      </c>
      <c r="G246" s="122"/>
      <c r="H246" s="120"/>
      <c r="I246" s="122"/>
    </row>
    <row r="262" spans="1:9" ht="15.6" x14ac:dyDescent="0.3">
      <c r="A262" s="383" t="s">
        <v>857</v>
      </c>
      <c r="B262" s="383"/>
      <c r="C262" s="383"/>
      <c r="D262" s="383"/>
      <c r="E262" s="383"/>
      <c r="F262" s="383"/>
      <c r="G262" s="383"/>
      <c r="H262" s="383"/>
      <c r="I262" s="383"/>
    </row>
    <row r="263" spans="1:9" ht="41.4" x14ac:dyDescent="0.3">
      <c r="A263" s="106" t="s">
        <v>113</v>
      </c>
      <c r="B263" s="107" t="s">
        <v>104</v>
      </c>
      <c r="C263" s="310" t="s">
        <v>105</v>
      </c>
      <c r="D263" s="108" t="s">
        <v>106</v>
      </c>
      <c r="E263" s="108" t="s">
        <v>107</v>
      </c>
      <c r="F263" s="107" t="s">
        <v>108</v>
      </c>
      <c r="G263" s="107" t="s">
        <v>109</v>
      </c>
      <c r="H263" s="106" t="s">
        <v>110</v>
      </c>
      <c r="I263" s="107" t="s">
        <v>111</v>
      </c>
    </row>
    <row r="264" spans="1:9" ht="43.2" x14ac:dyDescent="0.3">
      <c r="A264" s="109">
        <v>1</v>
      </c>
      <c r="B264" s="9" t="s">
        <v>887</v>
      </c>
      <c r="C264" s="317" t="s">
        <v>901</v>
      </c>
      <c r="D264" s="111">
        <v>45848</v>
      </c>
      <c r="E264" s="112">
        <v>45873</v>
      </c>
      <c r="F264" s="113">
        <v>366000</v>
      </c>
      <c r="G264" s="113">
        <v>366000</v>
      </c>
      <c r="H264" s="109">
        <f>G264-F264</f>
        <v>0</v>
      </c>
      <c r="I264" s="113" t="s">
        <v>916</v>
      </c>
    </row>
    <row r="265" spans="1:9" ht="43.2" x14ac:dyDescent="0.3">
      <c r="A265" s="109">
        <v>2</v>
      </c>
      <c r="B265" s="9" t="s">
        <v>888</v>
      </c>
      <c r="C265" s="317" t="s">
        <v>902</v>
      </c>
      <c r="D265" s="111">
        <v>45873</v>
      </c>
      <c r="E265" s="112">
        <v>45874</v>
      </c>
      <c r="F265" s="113">
        <v>710000</v>
      </c>
      <c r="G265" s="113">
        <v>710000</v>
      </c>
      <c r="H265" s="109">
        <f t="shared" ref="H265:H272" si="8">G265-F265</f>
        <v>0</v>
      </c>
      <c r="I265" s="113" t="s">
        <v>917</v>
      </c>
    </row>
    <row r="266" spans="1:9" ht="41.4" x14ac:dyDescent="0.3">
      <c r="A266" s="109">
        <v>3</v>
      </c>
      <c r="B266" s="9" t="s">
        <v>889</v>
      </c>
      <c r="C266" s="317" t="s">
        <v>903</v>
      </c>
      <c r="D266" s="111">
        <v>45873</v>
      </c>
      <c r="E266" s="112">
        <v>45510</v>
      </c>
      <c r="F266" s="113">
        <v>1642500</v>
      </c>
      <c r="G266" s="113">
        <v>1642500</v>
      </c>
      <c r="H266" s="109">
        <f t="shared" si="8"/>
        <v>0</v>
      </c>
      <c r="I266" s="113" t="s">
        <v>918</v>
      </c>
    </row>
    <row r="267" spans="1:9" ht="28.8" x14ac:dyDescent="0.3">
      <c r="A267" s="109">
        <v>4</v>
      </c>
      <c r="B267" s="9" t="s">
        <v>890</v>
      </c>
      <c r="C267" s="318" t="s">
        <v>904</v>
      </c>
      <c r="D267" s="247">
        <v>45873</v>
      </c>
      <c r="E267" s="248">
        <v>45875</v>
      </c>
      <c r="F267" s="249">
        <v>400000</v>
      </c>
      <c r="G267" s="249">
        <v>400000</v>
      </c>
      <c r="H267" s="250">
        <f t="shared" si="8"/>
        <v>0</v>
      </c>
      <c r="I267" s="249" t="s">
        <v>868</v>
      </c>
    </row>
    <row r="268" spans="1:9" ht="43.2" x14ac:dyDescent="0.3">
      <c r="A268" s="109">
        <v>5</v>
      </c>
      <c r="B268" s="9" t="s">
        <v>891</v>
      </c>
      <c r="C268" s="311" t="s">
        <v>905</v>
      </c>
      <c r="D268" s="111">
        <v>45875</v>
      </c>
      <c r="E268" s="112">
        <v>45881</v>
      </c>
      <c r="F268" s="113">
        <v>178000</v>
      </c>
      <c r="G268" s="113">
        <v>178000</v>
      </c>
      <c r="H268" s="109">
        <f t="shared" si="8"/>
        <v>0</v>
      </c>
      <c r="I268" s="113" t="s">
        <v>919</v>
      </c>
    </row>
    <row r="269" spans="1:9" ht="28.8" x14ac:dyDescent="0.3">
      <c r="A269" s="109">
        <v>6</v>
      </c>
      <c r="B269" s="9" t="s">
        <v>892</v>
      </c>
      <c r="C269" s="311" t="s">
        <v>906</v>
      </c>
      <c r="D269" s="111">
        <v>45881</v>
      </c>
      <c r="E269" s="112">
        <v>45881</v>
      </c>
      <c r="F269" s="113">
        <v>1205000</v>
      </c>
      <c r="G269" s="113">
        <v>1205000</v>
      </c>
      <c r="H269" s="109">
        <f t="shared" si="8"/>
        <v>0</v>
      </c>
      <c r="I269" s="113" t="s">
        <v>65</v>
      </c>
    </row>
    <row r="270" spans="1:9" ht="43.2" x14ac:dyDescent="0.3">
      <c r="A270" s="109">
        <v>7</v>
      </c>
      <c r="B270" s="9" t="s">
        <v>893</v>
      </c>
      <c r="C270" s="311" t="s">
        <v>907</v>
      </c>
      <c r="D270" s="111">
        <v>45881</v>
      </c>
      <c r="E270" s="112">
        <v>45883</v>
      </c>
      <c r="F270" s="113">
        <v>852000</v>
      </c>
      <c r="G270" s="113">
        <v>852000</v>
      </c>
      <c r="H270" s="109">
        <f t="shared" si="8"/>
        <v>0</v>
      </c>
      <c r="I270" s="113" t="s">
        <v>920</v>
      </c>
    </row>
    <row r="271" spans="1:9" ht="28.8" x14ac:dyDescent="0.3">
      <c r="A271" s="109">
        <v>8</v>
      </c>
      <c r="B271" s="9" t="s">
        <v>860</v>
      </c>
      <c r="C271" s="311" t="s">
        <v>908</v>
      </c>
      <c r="D271" s="111">
        <v>45881</v>
      </c>
      <c r="E271" s="112">
        <v>45883</v>
      </c>
      <c r="F271" s="113">
        <v>1025000</v>
      </c>
      <c r="G271" s="113">
        <v>1025000</v>
      </c>
      <c r="H271" s="109">
        <f t="shared" si="8"/>
        <v>0</v>
      </c>
      <c r="I271" s="113" t="s">
        <v>921</v>
      </c>
    </row>
    <row r="272" spans="1:9" ht="28.8" x14ac:dyDescent="0.3">
      <c r="A272" s="109">
        <v>9</v>
      </c>
      <c r="B272" s="9" t="s">
        <v>894</v>
      </c>
      <c r="C272" s="311" t="s">
        <v>909</v>
      </c>
      <c r="D272" s="111">
        <v>45881</v>
      </c>
      <c r="E272" s="112">
        <v>45883</v>
      </c>
      <c r="F272" s="113">
        <v>6800000</v>
      </c>
      <c r="G272" s="113">
        <v>6800000</v>
      </c>
      <c r="H272" s="109">
        <f t="shared" si="8"/>
        <v>0</v>
      </c>
      <c r="I272" s="113" t="s">
        <v>922</v>
      </c>
    </row>
    <row r="273" spans="1:9" ht="43.2" x14ac:dyDescent="0.3">
      <c r="A273" s="109">
        <v>10</v>
      </c>
      <c r="B273" s="9" t="s">
        <v>895</v>
      </c>
      <c r="C273" s="311" t="s">
        <v>910</v>
      </c>
      <c r="D273" s="111">
        <v>45884</v>
      </c>
      <c r="E273" s="112">
        <v>45889</v>
      </c>
      <c r="F273" s="113">
        <v>18227050</v>
      </c>
      <c r="G273" s="113">
        <v>18227050</v>
      </c>
      <c r="H273" s="109">
        <f t="shared" ref="H273:H278" si="9">G273-F273</f>
        <v>0</v>
      </c>
      <c r="I273" s="113" t="s">
        <v>775</v>
      </c>
    </row>
    <row r="274" spans="1:9" ht="28.8" x14ac:dyDescent="0.3">
      <c r="A274" s="109">
        <v>11</v>
      </c>
      <c r="B274" s="9" t="s">
        <v>896</v>
      </c>
      <c r="C274" s="311" t="s">
        <v>911</v>
      </c>
      <c r="D274" s="111">
        <v>45889</v>
      </c>
      <c r="E274" s="112">
        <v>45894</v>
      </c>
      <c r="F274" s="113">
        <v>3933000</v>
      </c>
      <c r="G274" s="113">
        <v>3933000</v>
      </c>
      <c r="H274" s="109">
        <f t="shared" si="9"/>
        <v>0</v>
      </c>
      <c r="I274" s="113" t="s">
        <v>102</v>
      </c>
    </row>
    <row r="275" spans="1:9" ht="28.8" x14ac:dyDescent="0.3">
      <c r="A275" s="109">
        <v>12</v>
      </c>
      <c r="B275" s="9" t="s">
        <v>897</v>
      </c>
      <c r="C275" s="311" t="s">
        <v>912</v>
      </c>
      <c r="D275" s="111">
        <v>45889</v>
      </c>
      <c r="E275" s="112">
        <v>45894</v>
      </c>
      <c r="F275" s="113">
        <v>1000000</v>
      </c>
      <c r="G275" s="113">
        <v>1000000</v>
      </c>
      <c r="H275" s="109">
        <f t="shared" si="9"/>
        <v>0</v>
      </c>
      <c r="I275" s="113" t="s">
        <v>923</v>
      </c>
    </row>
    <row r="276" spans="1:9" ht="28.8" x14ac:dyDescent="0.3">
      <c r="A276" s="109">
        <v>13</v>
      </c>
      <c r="B276" s="9" t="s">
        <v>898</v>
      </c>
      <c r="C276" s="311" t="s">
        <v>913</v>
      </c>
      <c r="D276" s="111">
        <v>45891</v>
      </c>
      <c r="E276" s="112">
        <v>45894</v>
      </c>
      <c r="F276" s="113">
        <v>2469300</v>
      </c>
      <c r="G276" s="113">
        <v>2469300</v>
      </c>
      <c r="H276" s="109">
        <f t="shared" si="9"/>
        <v>0</v>
      </c>
      <c r="I276" s="113" t="s">
        <v>776</v>
      </c>
    </row>
    <row r="277" spans="1:9" ht="27.6" x14ac:dyDescent="0.3">
      <c r="A277" s="109">
        <v>14</v>
      </c>
      <c r="B277" s="9" t="s">
        <v>899</v>
      </c>
      <c r="C277" s="311" t="s">
        <v>914</v>
      </c>
      <c r="D277" s="111">
        <v>45891</v>
      </c>
      <c r="E277" s="112">
        <v>45897</v>
      </c>
      <c r="F277" s="113">
        <v>344000</v>
      </c>
      <c r="G277" s="113">
        <v>344000</v>
      </c>
      <c r="H277" s="109">
        <f t="shared" si="9"/>
        <v>0</v>
      </c>
      <c r="I277" s="113" t="s">
        <v>924</v>
      </c>
    </row>
    <row r="278" spans="1:9" ht="27.6" x14ac:dyDescent="0.3">
      <c r="A278" s="109">
        <v>15</v>
      </c>
      <c r="B278" s="9" t="s">
        <v>900</v>
      </c>
      <c r="C278" s="311" t="s">
        <v>915</v>
      </c>
      <c r="D278" s="111">
        <v>45889</v>
      </c>
      <c r="E278" s="112">
        <v>45897</v>
      </c>
      <c r="F278" s="113">
        <v>241500</v>
      </c>
      <c r="G278" s="113">
        <v>241500</v>
      </c>
      <c r="H278" s="109">
        <f t="shared" si="9"/>
        <v>0</v>
      </c>
      <c r="I278" s="113" t="s">
        <v>924</v>
      </c>
    </row>
    <row r="279" spans="1:9" x14ac:dyDescent="0.3">
      <c r="A279" s="109">
        <v>16</v>
      </c>
      <c r="B279" s="114" t="s">
        <v>112</v>
      </c>
      <c r="C279" s="313"/>
      <c r="D279" s="115"/>
      <c r="E279" s="116"/>
      <c r="F279" s="117">
        <f>SUM(F264:F278)</f>
        <v>39393350</v>
      </c>
      <c r="G279" s="117">
        <f>SUM(G264:G278)</f>
        <v>39393350</v>
      </c>
      <c r="H279" s="118">
        <f>SUM(H264:H278)</f>
        <v>0</v>
      </c>
      <c r="I279" s="119"/>
    </row>
    <row r="280" spans="1:9" x14ac:dyDescent="0.3">
      <c r="A280" s="120"/>
      <c r="B280" s="384" t="s">
        <v>858</v>
      </c>
      <c r="C280" s="385"/>
      <c r="D280" s="385"/>
      <c r="E280" s="386"/>
      <c r="F280" s="121">
        <f>SUM(F279+H279)</f>
        <v>39393350</v>
      </c>
      <c r="G280" s="122"/>
      <c r="H280" s="120"/>
      <c r="I280" s="122"/>
    </row>
    <row r="307" spans="1:9" ht="15.6" x14ac:dyDescent="0.3">
      <c r="A307" s="383" t="s">
        <v>942</v>
      </c>
      <c r="B307" s="383"/>
      <c r="C307" s="383"/>
      <c r="D307" s="383"/>
      <c r="E307" s="383"/>
      <c r="F307" s="383"/>
      <c r="G307" s="383"/>
      <c r="H307" s="383"/>
      <c r="I307" s="383"/>
    </row>
    <row r="308" spans="1:9" ht="41.4" x14ac:dyDescent="0.3">
      <c r="A308" s="106" t="s">
        <v>113</v>
      </c>
      <c r="B308" s="107" t="s">
        <v>104</v>
      </c>
      <c r="C308" s="310" t="s">
        <v>105</v>
      </c>
      <c r="D308" s="108" t="s">
        <v>106</v>
      </c>
      <c r="E308" s="108" t="s">
        <v>107</v>
      </c>
      <c r="F308" s="107" t="s">
        <v>108</v>
      </c>
      <c r="G308" s="107" t="s">
        <v>109</v>
      </c>
      <c r="H308" s="106" t="s">
        <v>110</v>
      </c>
      <c r="I308" s="107" t="s">
        <v>111</v>
      </c>
    </row>
    <row r="309" spans="1:9" ht="41.4" x14ac:dyDescent="0.3">
      <c r="A309" s="109">
        <v>1</v>
      </c>
      <c r="B309" s="110" t="s">
        <v>927</v>
      </c>
      <c r="C309" s="317">
        <v>5345692</v>
      </c>
      <c r="D309" s="111">
        <v>45898</v>
      </c>
      <c r="E309" s="112">
        <v>45901</v>
      </c>
      <c r="F309" s="113">
        <v>2392200</v>
      </c>
      <c r="G309" s="113">
        <v>2392200</v>
      </c>
      <c r="H309" s="109">
        <f t="shared" ref="H309:H321" si="10">G309-F309</f>
        <v>0</v>
      </c>
      <c r="I309" s="113" t="s">
        <v>817</v>
      </c>
    </row>
    <row r="310" spans="1:9" ht="41.4" x14ac:dyDescent="0.3">
      <c r="A310" s="109">
        <v>2</v>
      </c>
      <c r="B310" s="110" t="s">
        <v>928</v>
      </c>
      <c r="C310" s="317">
        <v>5345695</v>
      </c>
      <c r="D310" s="111">
        <v>45908</v>
      </c>
      <c r="E310" s="112">
        <v>45909</v>
      </c>
      <c r="F310" s="113">
        <v>315000</v>
      </c>
      <c r="G310" s="113">
        <v>315000</v>
      </c>
      <c r="H310" s="109">
        <f t="shared" si="10"/>
        <v>0</v>
      </c>
      <c r="I310" s="113" t="s">
        <v>238</v>
      </c>
    </row>
    <row r="311" spans="1:9" ht="41.4" x14ac:dyDescent="0.3">
      <c r="A311" s="109">
        <v>3</v>
      </c>
      <c r="B311" s="110" t="s">
        <v>929</v>
      </c>
      <c r="C311" s="317">
        <v>5345696</v>
      </c>
      <c r="D311" s="111">
        <v>45908</v>
      </c>
      <c r="E311" s="112">
        <v>45909</v>
      </c>
      <c r="F311" s="113">
        <v>1640000</v>
      </c>
      <c r="G311" s="113">
        <v>1640000</v>
      </c>
      <c r="H311" s="109">
        <f t="shared" si="10"/>
        <v>0</v>
      </c>
      <c r="I311" s="113" t="s">
        <v>930</v>
      </c>
    </row>
    <row r="312" spans="1:9" ht="27.6" x14ac:dyDescent="0.3">
      <c r="A312" s="109">
        <v>4</v>
      </c>
      <c r="B312" s="246" t="s">
        <v>931</v>
      </c>
      <c r="C312" s="318">
        <v>5345694</v>
      </c>
      <c r="D312" s="247">
        <v>45902</v>
      </c>
      <c r="E312" s="248">
        <v>45915</v>
      </c>
      <c r="F312" s="249">
        <v>3933000</v>
      </c>
      <c r="G312" s="249">
        <v>3933000</v>
      </c>
      <c r="H312" s="250">
        <f t="shared" si="10"/>
        <v>0</v>
      </c>
      <c r="I312" s="249" t="s">
        <v>102</v>
      </c>
    </row>
    <row r="313" spans="1:9" ht="27.6" x14ac:dyDescent="0.3">
      <c r="A313" s="109">
        <v>5</v>
      </c>
      <c r="B313" s="110" t="s">
        <v>932</v>
      </c>
      <c r="C313" s="311">
        <v>5345697</v>
      </c>
      <c r="D313" s="111">
        <v>45908</v>
      </c>
      <c r="E313" s="112">
        <v>45915</v>
      </c>
      <c r="F313" s="113">
        <v>14739600</v>
      </c>
      <c r="G313" s="113">
        <v>14739600</v>
      </c>
      <c r="H313" s="109">
        <f t="shared" si="10"/>
        <v>0</v>
      </c>
      <c r="I313" s="113" t="s">
        <v>811</v>
      </c>
    </row>
    <row r="314" spans="1:9" ht="27.6" x14ac:dyDescent="0.3">
      <c r="A314" s="109">
        <v>6</v>
      </c>
      <c r="B314" s="110" t="s">
        <v>933</v>
      </c>
      <c r="C314" s="311">
        <v>5345693</v>
      </c>
      <c r="D314" s="111">
        <v>45902</v>
      </c>
      <c r="E314" s="112">
        <v>45915</v>
      </c>
      <c r="F314" s="113">
        <v>357500</v>
      </c>
      <c r="G314" s="113">
        <v>357500</v>
      </c>
      <c r="H314" s="109">
        <f t="shared" si="10"/>
        <v>0</v>
      </c>
      <c r="I314" s="113" t="s">
        <v>934</v>
      </c>
    </row>
    <row r="315" spans="1:9" ht="41.4" x14ac:dyDescent="0.3">
      <c r="A315" s="109">
        <v>7</v>
      </c>
      <c r="B315" s="110" t="s">
        <v>935</v>
      </c>
      <c r="C315" s="311">
        <v>5345702</v>
      </c>
      <c r="D315" s="111">
        <v>45918</v>
      </c>
      <c r="E315" s="112">
        <v>45922</v>
      </c>
      <c r="F315" s="113">
        <v>7549964</v>
      </c>
      <c r="G315" s="113">
        <v>7549964</v>
      </c>
      <c r="H315" s="109">
        <f t="shared" si="10"/>
        <v>0</v>
      </c>
      <c r="I315" s="113" t="s">
        <v>886</v>
      </c>
    </row>
    <row r="316" spans="1:9" ht="55.2" x14ac:dyDescent="0.3">
      <c r="A316" s="109">
        <v>8</v>
      </c>
      <c r="B316" s="110" t="s">
        <v>936</v>
      </c>
      <c r="C316" s="311">
        <v>5345701</v>
      </c>
      <c r="D316" s="111">
        <v>45918</v>
      </c>
      <c r="E316" s="112">
        <v>45922</v>
      </c>
      <c r="F316" s="113">
        <v>6149962</v>
      </c>
      <c r="G316" s="113">
        <v>6149962</v>
      </c>
      <c r="H316" s="109">
        <f t="shared" si="10"/>
        <v>0</v>
      </c>
      <c r="I316" s="113" t="s">
        <v>937</v>
      </c>
    </row>
    <row r="317" spans="1:9" ht="27.6" x14ac:dyDescent="0.3">
      <c r="A317" s="109">
        <v>9</v>
      </c>
      <c r="B317" s="110" t="s">
        <v>938</v>
      </c>
      <c r="C317" s="311">
        <v>5345703</v>
      </c>
      <c r="D317" s="111">
        <v>45918</v>
      </c>
      <c r="E317" s="112">
        <v>45923</v>
      </c>
      <c r="F317" s="113">
        <v>684250</v>
      </c>
      <c r="G317" s="113">
        <v>684250</v>
      </c>
      <c r="H317" s="109">
        <f t="shared" si="10"/>
        <v>0</v>
      </c>
      <c r="I317" s="113" t="s">
        <v>916</v>
      </c>
    </row>
    <row r="318" spans="1:9" ht="41.4" x14ac:dyDescent="0.3">
      <c r="A318" s="109">
        <v>10</v>
      </c>
      <c r="B318" s="110" t="s">
        <v>939</v>
      </c>
      <c r="C318" s="311">
        <v>5345708</v>
      </c>
      <c r="D318" s="111">
        <v>45924</v>
      </c>
      <c r="E318" s="112">
        <v>45923</v>
      </c>
      <c r="F318" s="113">
        <v>204000</v>
      </c>
      <c r="G318" s="113">
        <v>204000</v>
      </c>
      <c r="H318" s="109">
        <f t="shared" si="10"/>
        <v>0</v>
      </c>
      <c r="I318" s="113" t="s">
        <v>52</v>
      </c>
    </row>
    <row r="319" spans="1:9" ht="27.6" x14ac:dyDescent="0.3">
      <c r="A319" s="109">
        <v>11</v>
      </c>
      <c r="B319" s="110" t="s">
        <v>940</v>
      </c>
      <c r="C319" s="311">
        <v>5345707</v>
      </c>
      <c r="D319" s="111">
        <v>45924</v>
      </c>
      <c r="E319" s="112">
        <v>45926</v>
      </c>
      <c r="F319" s="113">
        <v>105000</v>
      </c>
      <c r="G319" s="113">
        <v>105000</v>
      </c>
      <c r="H319" s="109">
        <f t="shared" si="10"/>
        <v>0</v>
      </c>
      <c r="I319" s="113" t="s">
        <v>52</v>
      </c>
    </row>
    <row r="320" spans="1:9" ht="27.6" x14ac:dyDescent="0.3">
      <c r="A320" s="109">
        <v>12</v>
      </c>
      <c r="B320" s="110" t="s">
        <v>860</v>
      </c>
      <c r="C320" s="311">
        <v>5345706</v>
      </c>
      <c r="D320" s="111">
        <v>45924</v>
      </c>
      <c r="E320" s="112">
        <v>45926</v>
      </c>
      <c r="F320" s="113">
        <v>441500</v>
      </c>
      <c r="G320" s="113">
        <v>441500</v>
      </c>
      <c r="H320" s="109">
        <f t="shared" si="10"/>
        <v>0</v>
      </c>
      <c r="I320" s="113" t="s">
        <v>52</v>
      </c>
    </row>
    <row r="321" spans="1:9" ht="27.6" x14ac:dyDescent="0.3">
      <c r="A321" s="109">
        <v>13</v>
      </c>
      <c r="B321" s="110" t="s">
        <v>941</v>
      </c>
      <c r="C321" s="311">
        <v>5345705</v>
      </c>
      <c r="D321" s="111">
        <v>45924</v>
      </c>
      <c r="E321" s="112">
        <v>45930</v>
      </c>
      <c r="F321" s="113">
        <v>725000</v>
      </c>
      <c r="G321" s="113">
        <v>725000</v>
      </c>
      <c r="H321" s="109">
        <f t="shared" si="10"/>
        <v>0</v>
      </c>
      <c r="I321" s="113" t="s">
        <v>934</v>
      </c>
    </row>
    <row r="322" spans="1:9" x14ac:dyDescent="0.3">
      <c r="A322" s="109">
        <v>16</v>
      </c>
      <c r="B322" s="114" t="s">
        <v>112</v>
      </c>
      <c r="C322" s="313"/>
      <c r="D322" s="115"/>
      <c r="E322" s="116"/>
      <c r="F322" s="117">
        <f>SUM(F309:F321)</f>
        <v>39236976</v>
      </c>
      <c r="G322" s="117">
        <f>SUM(G309:G321)</f>
        <v>39236976</v>
      </c>
      <c r="H322" s="118">
        <f>SUM(H309:H321)</f>
        <v>0</v>
      </c>
      <c r="I322" s="119"/>
    </row>
    <row r="323" spans="1:9" x14ac:dyDescent="0.3">
      <c r="A323" s="120"/>
      <c r="B323" s="384" t="s">
        <v>926</v>
      </c>
      <c r="C323" s="385"/>
      <c r="D323" s="385"/>
      <c r="E323" s="386"/>
      <c r="F323" s="121">
        <f>SUM(F322+H322)</f>
        <v>39236976</v>
      </c>
      <c r="G323" s="122"/>
      <c r="H323" s="120"/>
      <c r="I323" s="122"/>
    </row>
    <row r="354" spans="1:9" ht="15.6" x14ac:dyDescent="0.3">
      <c r="A354" s="383" t="s">
        <v>943</v>
      </c>
      <c r="B354" s="383"/>
      <c r="C354" s="383"/>
      <c r="D354" s="383"/>
      <c r="E354" s="383"/>
      <c r="F354" s="383"/>
      <c r="G354" s="383"/>
      <c r="H354" s="383"/>
      <c r="I354" s="383"/>
    </row>
    <row r="355" spans="1:9" ht="41.4" x14ac:dyDescent="0.3">
      <c r="A355" s="106" t="s">
        <v>113</v>
      </c>
      <c r="B355" s="107" t="s">
        <v>104</v>
      </c>
      <c r="C355" s="310" t="s">
        <v>105</v>
      </c>
      <c r="D355" s="108" t="s">
        <v>106</v>
      </c>
      <c r="E355" s="108" t="s">
        <v>107</v>
      </c>
      <c r="F355" s="107" t="s">
        <v>108</v>
      </c>
      <c r="G355" s="107" t="s">
        <v>109</v>
      </c>
      <c r="H355" s="106" t="s">
        <v>110</v>
      </c>
      <c r="I355" s="107" t="s">
        <v>111</v>
      </c>
    </row>
    <row r="356" spans="1:9" ht="41.4" x14ac:dyDescent="0.3">
      <c r="A356" s="109">
        <v>1</v>
      </c>
      <c r="B356" s="110" t="s">
        <v>948</v>
      </c>
      <c r="C356" s="317" t="s">
        <v>834</v>
      </c>
      <c r="D356" s="111" t="s">
        <v>949</v>
      </c>
      <c r="E356" s="112">
        <v>45931</v>
      </c>
      <c r="F356" s="113">
        <v>9600000</v>
      </c>
      <c r="G356" s="113">
        <v>9605963</v>
      </c>
      <c r="H356" s="109">
        <f>G356-F356</f>
        <v>5963</v>
      </c>
      <c r="I356" s="113" t="s">
        <v>101</v>
      </c>
    </row>
    <row r="357" spans="1:9" ht="55.2" x14ac:dyDescent="0.3">
      <c r="A357" s="109">
        <v>2</v>
      </c>
      <c r="B357" s="110" t="s">
        <v>950</v>
      </c>
      <c r="C357" s="317" t="s">
        <v>831</v>
      </c>
      <c r="D357" s="111">
        <v>45931</v>
      </c>
      <c r="E357" s="112">
        <v>45931</v>
      </c>
      <c r="F357" s="113">
        <v>9240000</v>
      </c>
      <c r="G357" s="113">
        <v>9245963</v>
      </c>
      <c r="H357" s="109">
        <f t="shared" ref="H357:H364" si="11">G357-F357</f>
        <v>5963</v>
      </c>
      <c r="I357" s="113" t="s">
        <v>886</v>
      </c>
    </row>
    <row r="358" spans="1:9" ht="55.2" x14ac:dyDescent="0.3">
      <c r="A358" s="109">
        <v>3</v>
      </c>
      <c r="B358" s="110" t="s">
        <v>950</v>
      </c>
      <c r="C358" s="317" t="s">
        <v>951</v>
      </c>
      <c r="D358" s="111">
        <v>45931</v>
      </c>
      <c r="E358" s="112">
        <v>45931</v>
      </c>
      <c r="F358" s="113">
        <v>8140000</v>
      </c>
      <c r="G358" s="113">
        <v>8145963</v>
      </c>
      <c r="H358" s="109">
        <f t="shared" si="11"/>
        <v>5963</v>
      </c>
      <c r="I358" s="113" t="s">
        <v>775</v>
      </c>
    </row>
    <row r="359" spans="1:9" ht="41.4" x14ac:dyDescent="0.3">
      <c r="A359" s="109">
        <v>4</v>
      </c>
      <c r="B359" s="110" t="s">
        <v>952</v>
      </c>
      <c r="C359" s="318" t="s">
        <v>831</v>
      </c>
      <c r="D359" s="247">
        <v>45931</v>
      </c>
      <c r="E359" s="248">
        <v>45932</v>
      </c>
      <c r="F359" s="249">
        <v>9600000</v>
      </c>
      <c r="G359" s="249">
        <v>9605963</v>
      </c>
      <c r="H359" s="250">
        <f t="shared" si="11"/>
        <v>5963</v>
      </c>
      <c r="I359" s="249" t="s">
        <v>101</v>
      </c>
    </row>
    <row r="360" spans="1:9" ht="41.4" x14ac:dyDescent="0.3">
      <c r="A360" s="109">
        <v>5</v>
      </c>
      <c r="B360" s="110" t="s">
        <v>953</v>
      </c>
      <c r="C360" s="311" t="s">
        <v>951</v>
      </c>
      <c r="D360" s="111">
        <v>45931</v>
      </c>
      <c r="E360" s="112">
        <v>45932</v>
      </c>
      <c r="F360" s="113">
        <v>33000000</v>
      </c>
      <c r="G360" s="113">
        <v>33005963</v>
      </c>
      <c r="H360" s="109">
        <f t="shared" si="11"/>
        <v>5963</v>
      </c>
      <c r="I360" s="113" t="s">
        <v>954</v>
      </c>
    </row>
    <row r="361" spans="1:9" ht="41.4" x14ac:dyDescent="0.3">
      <c r="A361" s="109">
        <v>6</v>
      </c>
      <c r="B361" s="110" t="s">
        <v>953</v>
      </c>
      <c r="C361" s="311" t="s">
        <v>951</v>
      </c>
      <c r="D361" s="111">
        <v>45931</v>
      </c>
      <c r="E361" s="112">
        <v>45932</v>
      </c>
      <c r="F361" s="113">
        <v>33000000</v>
      </c>
      <c r="G361" s="113">
        <v>33005963</v>
      </c>
      <c r="H361" s="109">
        <f t="shared" si="11"/>
        <v>5963</v>
      </c>
      <c r="I361" s="113" t="s">
        <v>954</v>
      </c>
    </row>
    <row r="362" spans="1:9" ht="41.4" x14ac:dyDescent="0.3">
      <c r="A362" s="109">
        <v>7</v>
      </c>
      <c r="B362" s="110" t="s">
        <v>955</v>
      </c>
      <c r="C362" s="311" t="s">
        <v>831</v>
      </c>
      <c r="D362" s="111">
        <v>45931</v>
      </c>
      <c r="E362" s="112">
        <v>45932</v>
      </c>
      <c r="F362" s="249">
        <v>9600000</v>
      </c>
      <c r="G362" s="249">
        <v>9605963</v>
      </c>
      <c r="H362" s="109">
        <f t="shared" si="11"/>
        <v>5963</v>
      </c>
      <c r="I362" s="113" t="s">
        <v>101</v>
      </c>
    </row>
    <row r="363" spans="1:9" x14ac:dyDescent="0.3">
      <c r="A363" s="109">
        <v>8</v>
      </c>
      <c r="B363" s="110" t="s">
        <v>956</v>
      </c>
      <c r="C363" s="311" t="s">
        <v>831</v>
      </c>
      <c r="D363" s="111">
        <v>45932</v>
      </c>
      <c r="E363" s="112">
        <v>45932</v>
      </c>
      <c r="F363" s="113">
        <v>1980000</v>
      </c>
      <c r="G363" s="113">
        <v>1985963</v>
      </c>
      <c r="H363" s="109">
        <f t="shared" si="11"/>
        <v>5963</v>
      </c>
      <c r="I363" s="113" t="s">
        <v>52</v>
      </c>
    </row>
    <row r="364" spans="1:9" ht="41.4" x14ac:dyDescent="0.3">
      <c r="A364" s="109">
        <v>9</v>
      </c>
      <c r="B364" s="110" t="s">
        <v>957</v>
      </c>
      <c r="C364" s="311">
        <v>5345709</v>
      </c>
      <c r="D364" s="111">
        <v>45930</v>
      </c>
      <c r="E364" s="112">
        <v>45902</v>
      </c>
      <c r="F364" s="113">
        <v>1921800</v>
      </c>
      <c r="G364" s="113">
        <v>1921800</v>
      </c>
      <c r="H364" s="109">
        <f t="shared" si="11"/>
        <v>0</v>
      </c>
      <c r="I364" s="113" t="s">
        <v>920</v>
      </c>
    </row>
    <row r="365" spans="1:9" ht="27.6" x14ac:dyDescent="0.3">
      <c r="A365" s="109">
        <v>10</v>
      </c>
      <c r="B365" s="320"/>
      <c r="C365" s="312">
        <v>5345712</v>
      </c>
      <c r="D365" s="236"/>
      <c r="E365" s="237">
        <v>45932</v>
      </c>
      <c r="F365" s="238">
        <v>5514400</v>
      </c>
      <c r="G365" s="238">
        <v>5514400</v>
      </c>
      <c r="H365" s="239">
        <f>G365-F365</f>
        <v>0</v>
      </c>
      <c r="I365" s="238" t="s">
        <v>776</v>
      </c>
    </row>
    <row r="366" spans="1:9" ht="27.6" x14ac:dyDescent="0.3">
      <c r="A366" s="109"/>
      <c r="B366" s="320"/>
      <c r="C366" s="312">
        <v>5345710</v>
      </c>
      <c r="D366" s="236"/>
      <c r="E366" s="237">
        <v>45933</v>
      </c>
      <c r="F366" s="238">
        <v>2042040</v>
      </c>
      <c r="G366" s="238">
        <v>2042040</v>
      </c>
      <c r="H366" s="239">
        <f>G366-F366</f>
        <v>0</v>
      </c>
      <c r="I366" s="238" t="s">
        <v>960</v>
      </c>
    </row>
    <row r="367" spans="1:9" ht="41.4" x14ac:dyDescent="0.3">
      <c r="A367" s="109">
        <v>11</v>
      </c>
      <c r="B367" s="110" t="s">
        <v>958</v>
      </c>
      <c r="C367" s="311">
        <v>5345711</v>
      </c>
      <c r="D367" s="111">
        <v>45930</v>
      </c>
      <c r="E367" s="112">
        <v>45933</v>
      </c>
      <c r="F367" s="113">
        <v>1837800</v>
      </c>
      <c r="G367" s="113">
        <v>1837800</v>
      </c>
      <c r="H367" s="109">
        <f t="shared" ref="H367:H380" si="12">G367-F367</f>
        <v>0</v>
      </c>
      <c r="I367" s="113" t="s">
        <v>959</v>
      </c>
    </row>
    <row r="368" spans="1:9" ht="41.4" x14ac:dyDescent="0.3">
      <c r="A368" s="109">
        <v>12</v>
      </c>
      <c r="B368" s="110" t="s">
        <v>961</v>
      </c>
      <c r="C368" s="311">
        <v>5347713</v>
      </c>
      <c r="D368" s="111">
        <v>45930</v>
      </c>
      <c r="E368" s="112">
        <v>45936</v>
      </c>
      <c r="F368" s="113">
        <v>9120950</v>
      </c>
      <c r="G368" s="113">
        <v>9120950</v>
      </c>
      <c r="H368" s="109">
        <f t="shared" si="12"/>
        <v>0</v>
      </c>
      <c r="I368" s="113" t="s">
        <v>776</v>
      </c>
    </row>
    <row r="369" spans="1:9" ht="41.4" x14ac:dyDescent="0.3">
      <c r="A369" s="109">
        <v>13</v>
      </c>
      <c r="B369" s="110" t="s">
        <v>962</v>
      </c>
      <c r="C369" s="311">
        <v>5345699</v>
      </c>
      <c r="D369" s="111">
        <v>45910</v>
      </c>
      <c r="E369" s="112">
        <v>45937</v>
      </c>
      <c r="F369" s="113">
        <v>375000</v>
      </c>
      <c r="G369" s="113">
        <v>375000</v>
      </c>
      <c r="H369" s="109">
        <f t="shared" si="12"/>
        <v>0</v>
      </c>
      <c r="I369" s="113" t="s">
        <v>963</v>
      </c>
    </row>
    <row r="370" spans="1:9" ht="41.4" x14ac:dyDescent="0.3">
      <c r="A370" s="109">
        <v>14</v>
      </c>
      <c r="B370" s="110" t="s">
        <v>962</v>
      </c>
      <c r="C370" s="311">
        <v>5245655</v>
      </c>
      <c r="D370" s="111">
        <v>45826</v>
      </c>
      <c r="E370" s="112">
        <v>45937</v>
      </c>
      <c r="F370" s="113">
        <v>375000</v>
      </c>
      <c r="G370" s="113">
        <v>375000</v>
      </c>
      <c r="H370" s="109">
        <f t="shared" si="12"/>
        <v>0</v>
      </c>
      <c r="I370" s="113" t="s">
        <v>963</v>
      </c>
    </row>
    <row r="371" spans="1:9" ht="41.4" x14ac:dyDescent="0.3">
      <c r="A371" s="109">
        <v>15</v>
      </c>
      <c r="B371" s="110" t="s">
        <v>964</v>
      </c>
      <c r="C371" s="311">
        <v>5345700</v>
      </c>
      <c r="D371" s="111">
        <v>45918</v>
      </c>
      <c r="E371" s="112">
        <v>45937</v>
      </c>
      <c r="F371" s="113">
        <v>375000</v>
      </c>
      <c r="G371" s="113">
        <v>375000</v>
      </c>
      <c r="H371" s="109">
        <f t="shared" si="12"/>
        <v>0</v>
      </c>
      <c r="I371" s="113" t="s">
        <v>963</v>
      </c>
    </row>
    <row r="372" spans="1:9" ht="41.4" x14ac:dyDescent="0.3">
      <c r="A372" s="109">
        <v>16</v>
      </c>
      <c r="B372" s="110" t="s">
        <v>965</v>
      </c>
      <c r="C372" s="311">
        <v>5345670</v>
      </c>
      <c r="D372" s="111">
        <v>45852</v>
      </c>
      <c r="E372" s="112">
        <v>45937</v>
      </c>
      <c r="F372" s="113">
        <v>375000</v>
      </c>
      <c r="G372" s="113">
        <v>375000</v>
      </c>
      <c r="H372" s="109">
        <f t="shared" si="12"/>
        <v>0</v>
      </c>
      <c r="I372" s="113" t="s">
        <v>963</v>
      </c>
    </row>
    <row r="373" spans="1:9" ht="27.6" x14ac:dyDescent="0.3">
      <c r="A373" s="109">
        <v>17</v>
      </c>
      <c r="B373" s="110" t="s">
        <v>966</v>
      </c>
      <c r="C373" s="311">
        <v>5345716</v>
      </c>
      <c r="D373" s="111">
        <v>45936</v>
      </c>
      <c r="E373" s="112">
        <v>45938</v>
      </c>
      <c r="F373" s="113">
        <v>309000</v>
      </c>
      <c r="G373" s="113">
        <v>309000</v>
      </c>
      <c r="H373" s="109">
        <f t="shared" si="12"/>
        <v>0</v>
      </c>
      <c r="I373" s="113" t="s">
        <v>967</v>
      </c>
    </row>
    <row r="374" spans="1:9" ht="41.4" x14ac:dyDescent="0.3">
      <c r="A374" s="109">
        <v>18</v>
      </c>
      <c r="B374" s="110" t="s">
        <v>968</v>
      </c>
      <c r="C374" s="311">
        <v>5345714</v>
      </c>
      <c r="D374" s="111">
        <v>45902</v>
      </c>
      <c r="E374" s="112">
        <v>45940</v>
      </c>
      <c r="F374" s="113">
        <v>3947000</v>
      </c>
      <c r="G374" s="113">
        <v>3947000</v>
      </c>
      <c r="H374" s="109">
        <f t="shared" si="12"/>
        <v>0</v>
      </c>
      <c r="I374" s="113" t="s">
        <v>102</v>
      </c>
    </row>
    <row r="375" spans="1:9" x14ac:dyDescent="0.3">
      <c r="A375" s="109">
        <v>19</v>
      </c>
      <c r="B375" s="110" t="s">
        <v>969</v>
      </c>
      <c r="C375" s="311">
        <v>5345717</v>
      </c>
      <c r="D375" s="111">
        <v>45936</v>
      </c>
      <c r="E375" s="112">
        <v>45945</v>
      </c>
      <c r="F375" s="113">
        <v>400000</v>
      </c>
      <c r="G375" s="113">
        <v>400000</v>
      </c>
      <c r="H375" s="109">
        <f t="shared" si="12"/>
        <v>0</v>
      </c>
      <c r="I375" s="113" t="s">
        <v>970</v>
      </c>
    </row>
    <row r="376" spans="1:9" ht="27.6" x14ac:dyDescent="0.3">
      <c r="A376" s="109">
        <v>20</v>
      </c>
      <c r="B376" s="110" t="s">
        <v>971</v>
      </c>
      <c r="C376" s="311">
        <v>5345718</v>
      </c>
      <c r="D376" s="111">
        <v>45952</v>
      </c>
      <c r="E376" s="112">
        <v>45953</v>
      </c>
      <c r="F376" s="113">
        <v>165000</v>
      </c>
      <c r="G376" s="113">
        <v>165000</v>
      </c>
      <c r="H376" s="109">
        <f t="shared" si="12"/>
        <v>0</v>
      </c>
      <c r="I376" s="113" t="s">
        <v>776</v>
      </c>
    </row>
    <row r="377" spans="1:9" ht="27.6" x14ac:dyDescent="0.3">
      <c r="A377" s="109">
        <v>21</v>
      </c>
      <c r="B377" s="110" t="s">
        <v>972</v>
      </c>
      <c r="C377" s="311">
        <v>5345719</v>
      </c>
      <c r="D377" s="111">
        <v>45952</v>
      </c>
      <c r="E377" s="112">
        <v>45953</v>
      </c>
      <c r="F377" s="113">
        <v>2600000</v>
      </c>
      <c r="G377" s="113">
        <v>2600000</v>
      </c>
      <c r="H377" s="109">
        <f t="shared" si="12"/>
        <v>0</v>
      </c>
      <c r="I377" s="113" t="s">
        <v>776</v>
      </c>
    </row>
    <row r="378" spans="1:9" ht="27.6" x14ac:dyDescent="0.3">
      <c r="A378" s="109">
        <v>22</v>
      </c>
      <c r="B378" s="320"/>
      <c r="C378" s="312">
        <v>5345720</v>
      </c>
      <c r="D378" s="236"/>
      <c r="E378" s="236">
        <v>45958</v>
      </c>
      <c r="F378" s="238">
        <v>3327500</v>
      </c>
      <c r="G378" s="238">
        <v>3327500</v>
      </c>
      <c r="H378" s="239">
        <f t="shared" si="12"/>
        <v>0</v>
      </c>
      <c r="I378" s="238" t="s">
        <v>967</v>
      </c>
    </row>
    <row r="379" spans="1:9" ht="69" x14ac:dyDescent="0.3">
      <c r="A379" s="109">
        <v>23</v>
      </c>
      <c r="B379" s="110" t="s">
        <v>973</v>
      </c>
      <c r="C379" s="311">
        <v>5345721</v>
      </c>
      <c r="D379" s="111">
        <v>45957</v>
      </c>
      <c r="E379" s="112">
        <v>45958</v>
      </c>
      <c r="F379" s="113">
        <v>2647500</v>
      </c>
      <c r="G379" s="113">
        <v>2647500</v>
      </c>
      <c r="H379" s="109">
        <f t="shared" si="12"/>
        <v>0</v>
      </c>
      <c r="I379" s="113" t="s">
        <v>811</v>
      </c>
    </row>
    <row r="380" spans="1:9" ht="27.6" x14ac:dyDescent="0.3">
      <c r="A380" s="109">
        <v>24</v>
      </c>
      <c r="B380" s="110" t="s">
        <v>974</v>
      </c>
      <c r="C380" s="311">
        <v>5345723</v>
      </c>
      <c r="D380" s="111">
        <v>45960</v>
      </c>
      <c r="E380" s="112">
        <v>45961</v>
      </c>
      <c r="F380" s="113">
        <v>2000000</v>
      </c>
      <c r="G380" s="113">
        <v>2000000</v>
      </c>
      <c r="H380" s="109">
        <f t="shared" si="12"/>
        <v>0</v>
      </c>
      <c r="I380" s="113" t="s">
        <v>975</v>
      </c>
    </row>
    <row r="381" spans="1:9" x14ac:dyDescent="0.3">
      <c r="A381" s="109">
        <v>25</v>
      </c>
      <c r="B381" s="114" t="s">
        <v>112</v>
      </c>
      <c r="C381" s="313"/>
      <c r="D381" s="115"/>
      <c r="E381" s="116"/>
      <c r="F381" s="117">
        <f>SUM(F356:F380)</f>
        <v>151492990</v>
      </c>
      <c r="G381" s="117">
        <f>SUM(G356:G380)</f>
        <v>151540694</v>
      </c>
      <c r="H381" s="118">
        <f>SUM(H356:H380)</f>
        <v>47704</v>
      </c>
      <c r="I381" s="119"/>
    </row>
    <row r="382" spans="1:9" x14ac:dyDescent="0.3">
      <c r="A382" s="120"/>
      <c r="B382" s="384" t="s">
        <v>944</v>
      </c>
      <c r="C382" s="385"/>
      <c r="D382" s="385"/>
      <c r="E382" s="386"/>
      <c r="F382" s="121">
        <f>SUM(F381+H381)</f>
        <v>151540694</v>
      </c>
      <c r="G382" s="122"/>
      <c r="H382" s="120"/>
      <c r="I382" s="122"/>
    </row>
    <row r="414" spans="1:9" ht="15.6" x14ac:dyDescent="0.3">
      <c r="A414" s="383" t="s">
        <v>945</v>
      </c>
      <c r="B414" s="383"/>
      <c r="C414" s="383"/>
      <c r="D414" s="383"/>
      <c r="E414" s="383"/>
      <c r="F414" s="383"/>
      <c r="G414" s="383"/>
      <c r="H414" s="383"/>
      <c r="I414" s="383"/>
    </row>
    <row r="415" spans="1:9" ht="41.4" x14ac:dyDescent="0.3">
      <c r="A415" s="106" t="s">
        <v>113</v>
      </c>
      <c r="B415" s="107" t="s">
        <v>104</v>
      </c>
      <c r="C415" s="310" t="s">
        <v>105</v>
      </c>
      <c r="D415" s="108" t="s">
        <v>106</v>
      </c>
      <c r="E415" s="108" t="s">
        <v>107</v>
      </c>
      <c r="F415" s="107" t="s">
        <v>108</v>
      </c>
      <c r="G415" s="107" t="s">
        <v>109</v>
      </c>
      <c r="H415" s="106" t="s">
        <v>110</v>
      </c>
      <c r="I415" s="107" t="s">
        <v>111</v>
      </c>
    </row>
    <row r="416" spans="1:9" ht="27.6" x14ac:dyDescent="0.3">
      <c r="A416" s="109">
        <v>1</v>
      </c>
      <c r="B416" s="110" t="s">
        <v>976</v>
      </c>
      <c r="C416" s="317">
        <v>5345728</v>
      </c>
      <c r="D416" s="111">
        <v>45934</v>
      </c>
      <c r="E416" s="112">
        <v>45966</v>
      </c>
      <c r="F416" s="113">
        <v>88000</v>
      </c>
      <c r="G416" s="113">
        <v>88000</v>
      </c>
      <c r="H416" s="109">
        <f t="shared" ref="H416:H421" si="13">G416-F416</f>
        <v>0</v>
      </c>
      <c r="I416" s="113" t="s">
        <v>919</v>
      </c>
    </row>
    <row r="417" spans="1:9" ht="27.6" x14ac:dyDescent="0.3">
      <c r="A417" s="109">
        <v>2</v>
      </c>
      <c r="B417" s="110" t="s">
        <v>977</v>
      </c>
      <c r="C417" s="317">
        <v>5345730</v>
      </c>
      <c r="D417" s="111">
        <v>45934</v>
      </c>
      <c r="E417" s="112">
        <v>45966</v>
      </c>
      <c r="F417" s="113">
        <v>145000</v>
      </c>
      <c r="G417" s="113">
        <v>145000</v>
      </c>
      <c r="H417" s="109">
        <f t="shared" si="13"/>
        <v>0</v>
      </c>
      <c r="I417" s="113" t="s">
        <v>978</v>
      </c>
    </row>
    <row r="418" spans="1:9" ht="27.6" x14ac:dyDescent="0.3">
      <c r="A418" s="109">
        <v>3</v>
      </c>
      <c r="B418" s="110" t="s">
        <v>977</v>
      </c>
      <c r="C418" s="317">
        <v>5345729</v>
      </c>
      <c r="D418" s="111">
        <v>45934</v>
      </c>
      <c r="E418" s="112">
        <v>45966</v>
      </c>
      <c r="F418" s="113">
        <v>445000</v>
      </c>
      <c r="G418" s="113">
        <v>445000</v>
      </c>
      <c r="H418" s="109">
        <f t="shared" si="13"/>
        <v>0</v>
      </c>
      <c r="I418" s="113" t="s">
        <v>979</v>
      </c>
    </row>
    <row r="419" spans="1:9" ht="27.6" x14ac:dyDescent="0.3">
      <c r="A419" s="109">
        <v>4</v>
      </c>
      <c r="B419" s="110" t="s">
        <v>977</v>
      </c>
      <c r="C419" s="318">
        <v>5345726</v>
      </c>
      <c r="D419" s="247">
        <v>45934</v>
      </c>
      <c r="E419" s="248">
        <v>45966</v>
      </c>
      <c r="F419" s="249">
        <v>230000</v>
      </c>
      <c r="G419" s="249">
        <v>230000</v>
      </c>
      <c r="H419" s="250">
        <f t="shared" si="13"/>
        <v>0</v>
      </c>
      <c r="I419" s="113" t="s">
        <v>980</v>
      </c>
    </row>
    <row r="420" spans="1:9" ht="27.6" x14ac:dyDescent="0.3">
      <c r="A420" s="109"/>
      <c r="B420" s="110" t="s">
        <v>977</v>
      </c>
      <c r="C420" s="318">
        <v>5345727</v>
      </c>
      <c r="D420" s="247">
        <v>45934</v>
      </c>
      <c r="E420" s="248">
        <v>45966</v>
      </c>
      <c r="F420" s="249">
        <v>350000</v>
      </c>
      <c r="G420" s="249">
        <v>350000</v>
      </c>
      <c r="H420" s="250">
        <f t="shared" si="13"/>
        <v>0</v>
      </c>
      <c r="I420" s="113" t="s">
        <v>981</v>
      </c>
    </row>
    <row r="421" spans="1:9" ht="27.6" x14ac:dyDescent="0.3">
      <c r="A421" s="109">
        <v>5</v>
      </c>
      <c r="B421" s="110" t="s">
        <v>982</v>
      </c>
      <c r="C421" s="311">
        <v>5345732</v>
      </c>
      <c r="D421" s="111">
        <v>45974</v>
      </c>
      <c r="E421" s="112">
        <v>45979</v>
      </c>
      <c r="F421" s="113">
        <v>3919000</v>
      </c>
      <c r="G421" s="113">
        <v>3919000</v>
      </c>
      <c r="H421" s="109">
        <f t="shared" si="13"/>
        <v>0</v>
      </c>
      <c r="I421" s="113" t="s">
        <v>102</v>
      </c>
    </row>
    <row r="422" spans="1:9" x14ac:dyDescent="0.3">
      <c r="A422" s="109">
        <v>16</v>
      </c>
      <c r="B422" s="114" t="s">
        <v>112</v>
      </c>
      <c r="C422" s="313"/>
      <c r="D422" s="115"/>
      <c r="E422" s="116"/>
      <c r="F422" s="117">
        <f>SUM(F416:F421)</f>
        <v>5177000</v>
      </c>
      <c r="G422" s="117">
        <f>SUM(G416:G421)</f>
        <v>5177000</v>
      </c>
      <c r="H422" s="118">
        <f>SUM(H416:H421)</f>
        <v>0</v>
      </c>
      <c r="I422" s="119"/>
    </row>
    <row r="423" spans="1:9" x14ac:dyDescent="0.3">
      <c r="A423" s="120"/>
      <c r="B423" s="384" t="s">
        <v>946</v>
      </c>
      <c r="C423" s="385"/>
      <c r="D423" s="385"/>
      <c r="E423" s="386"/>
      <c r="F423" s="121">
        <f>SUM(F422+H422)</f>
        <v>5177000</v>
      </c>
      <c r="G423" s="122"/>
      <c r="H423" s="120"/>
      <c r="I423" s="122"/>
    </row>
    <row r="441" spans="1:9" ht="15.6" x14ac:dyDescent="0.3">
      <c r="A441" s="383" t="s">
        <v>829</v>
      </c>
      <c r="B441" s="383"/>
      <c r="C441" s="383"/>
      <c r="D441" s="383"/>
      <c r="E441" s="383"/>
      <c r="F441" s="383"/>
      <c r="G441" s="383"/>
      <c r="H441" s="383"/>
      <c r="I441" s="383"/>
    </row>
    <row r="442" spans="1:9" ht="41.4" x14ac:dyDescent="0.3">
      <c r="A442" s="106" t="s">
        <v>113</v>
      </c>
      <c r="B442" s="107" t="s">
        <v>104</v>
      </c>
      <c r="C442" s="310" t="s">
        <v>105</v>
      </c>
      <c r="D442" s="108" t="s">
        <v>106</v>
      </c>
      <c r="E442" s="108" t="s">
        <v>107</v>
      </c>
      <c r="F442" s="107" t="s">
        <v>108</v>
      </c>
      <c r="G442" s="107" t="s">
        <v>109</v>
      </c>
      <c r="H442" s="106" t="s">
        <v>110</v>
      </c>
      <c r="I442" s="107" t="s">
        <v>111</v>
      </c>
    </row>
    <row r="443" spans="1:9" ht="41.4" x14ac:dyDescent="0.3">
      <c r="A443" s="109">
        <v>1</v>
      </c>
      <c r="B443" s="110" t="s">
        <v>983</v>
      </c>
      <c r="C443" s="317">
        <v>5345735</v>
      </c>
      <c r="D443" s="111">
        <v>45993</v>
      </c>
      <c r="E443" s="112">
        <v>45993</v>
      </c>
      <c r="F443" s="113">
        <v>5000000</v>
      </c>
      <c r="G443" s="113">
        <v>5000000</v>
      </c>
      <c r="H443" s="109">
        <f>G443-F443</f>
        <v>0</v>
      </c>
      <c r="I443" s="113" t="s">
        <v>879</v>
      </c>
    </row>
    <row r="444" spans="1:9" ht="27.6" x14ac:dyDescent="0.3">
      <c r="A444" s="109">
        <v>2</v>
      </c>
      <c r="B444" s="110" t="s">
        <v>984</v>
      </c>
      <c r="C444" s="317">
        <v>5345734</v>
      </c>
      <c r="D444" s="111">
        <v>45987</v>
      </c>
      <c r="E444" s="112">
        <v>45630</v>
      </c>
      <c r="F444" s="113">
        <v>2250000</v>
      </c>
      <c r="G444" s="113">
        <v>2250000</v>
      </c>
      <c r="H444" s="109">
        <f>G444-F444</f>
        <v>0</v>
      </c>
      <c r="I444" s="113" t="s">
        <v>985</v>
      </c>
    </row>
    <row r="445" spans="1:9" ht="27.6" x14ac:dyDescent="0.3">
      <c r="A445" s="109">
        <v>3</v>
      </c>
      <c r="B445" s="123"/>
      <c r="C445" s="312">
        <v>5345698</v>
      </c>
      <c r="D445" s="124"/>
      <c r="E445" s="125">
        <v>45995</v>
      </c>
      <c r="F445" s="126">
        <v>1050000</v>
      </c>
      <c r="G445" s="126">
        <v>1050000</v>
      </c>
      <c r="H445" s="340">
        <f>G445-F445</f>
        <v>0</v>
      </c>
      <c r="I445" s="126" t="s">
        <v>986</v>
      </c>
    </row>
    <row r="446" spans="1:9" ht="27.6" x14ac:dyDescent="0.3">
      <c r="A446" s="109">
        <v>4</v>
      </c>
      <c r="B446" s="246" t="s">
        <v>987</v>
      </c>
      <c r="C446" s="318">
        <v>5345736</v>
      </c>
      <c r="D446" s="247">
        <v>46000</v>
      </c>
      <c r="E446" s="248">
        <v>46020</v>
      </c>
      <c r="F446" s="249">
        <v>500000</v>
      </c>
      <c r="G446" s="249">
        <v>500000</v>
      </c>
      <c r="H446" s="250">
        <f>G446-F446</f>
        <v>0</v>
      </c>
      <c r="I446" s="249" t="s">
        <v>988</v>
      </c>
    </row>
    <row r="447" spans="1:9" x14ac:dyDescent="0.3">
      <c r="A447" s="109">
        <v>16</v>
      </c>
      <c r="B447" s="114" t="s">
        <v>112</v>
      </c>
      <c r="C447" s="313"/>
      <c r="D447" s="115"/>
      <c r="E447" s="116"/>
      <c r="F447" s="117">
        <f>SUM(F443:F446)</f>
        <v>8800000</v>
      </c>
      <c r="G447" s="117">
        <f>SUM(G443:G446)</f>
        <v>8800000</v>
      </c>
      <c r="H447" s="118">
        <f>SUM(H443:H446)</f>
        <v>0</v>
      </c>
      <c r="I447" s="119"/>
    </row>
    <row r="448" spans="1:9" x14ac:dyDescent="0.3">
      <c r="A448" s="120"/>
      <c r="B448" s="384" t="s">
        <v>947</v>
      </c>
      <c r="C448" s="385"/>
      <c r="D448" s="385"/>
      <c r="E448" s="386"/>
      <c r="F448" s="121">
        <f>SUM(F447+H447)</f>
        <v>8800000</v>
      </c>
      <c r="G448" s="122"/>
      <c r="H448" s="120"/>
      <c r="I448" s="122"/>
    </row>
  </sheetData>
  <mergeCells count="24">
    <mergeCell ref="B323:E323"/>
    <mergeCell ref="A354:I354"/>
    <mergeCell ref="B382:E382"/>
    <mergeCell ref="A262:I262"/>
    <mergeCell ref="B280:E280"/>
    <mergeCell ref="A441:I441"/>
    <mergeCell ref="B448:E448"/>
    <mergeCell ref="B112:E112"/>
    <mergeCell ref="A186:I186"/>
    <mergeCell ref="B204:E204"/>
    <mergeCell ref="A227:I227"/>
    <mergeCell ref="B246:E246"/>
    <mergeCell ref="A142:I142"/>
    <mergeCell ref="B153:E153"/>
    <mergeCell ref="A159:I159"/>
    <mergeCell ref="B180:E180"/>
    <mergeCell ref="A414:I414"/>
    <mergeCell ref="B423:E423"/>
    <mergeCell ref="A307:I307"/>
    <mergeCell ref="A1:I1"/>
    <mergeCell ref="B27:E27"/>
    <mergeCell ref="A32:I32"/>
    <mergeCell ref="B52:E52"/>
    <mergeCell ref="A83:I83"/>
  </mergeCells>
  <phoneticPr fontId="62" type="noConversion"/>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61"/>
  <sheetViews>
    <sheetView workbookViewId="0">
      <selection activeCell="D20" sqref="D20"/>
    </sheetView>
  </sheetViews>
  <sheetFormatPr baseColWidth="10" defaultRowHeight="14.4" x14ac:dyDescent="0.3"/>
  <cols>
    <col min="1" max="1" width="5.6640625" customWidth="1"/>
    <col min="2" max="2" width="44" style="9" customWidth="1"/>
    <col min="3" max="3" width="13.5546875" customWidth="1"/>
    <col min="4" max="4" width="12.33203125" style="145" customWidth="1"/>
    <col min="5" max="5" width="9.33203125" style="9" customWidth="1"/>
    <col min="6" max="6" width="11.5546875" style="289" bestFit="1" customWidth="1"/>
    <col min="7" max="7" width="13.88671875" customWidth="1"/>
  </cols>
  <sheetData>
    <row r="3" spans="1:7" x14ac:dyDescent="0.3">
      <c r="A3" s="390" t="s">
        <v>397</v>
      </c>
      <c r="B3" s="390"/>
      <c r="C3" s="390"/>
      <c r="D3" s="390"/>
      <c r="E3" s="390"/>
      <c r="F3" s="390"/>
      <c r="G3" s="390"/>
    </row>
    <row r="4" spans="1:7" s="258" customFormat="1" ht="48.75" customHeight="1" x14ac:dyDescent="0.3">
      <c r="A4" s="256" t="s">
        <v>113</v>
      </c>
      <c r="B4" s="257" t="s">
        <v>395</v>
      </c>
      <c r="C4" s="256" t="s">
        <v>400</v>
      </c>
      <c r="D4" s="256" t="s">
        <v>399</v>
      </c>
      <c r="E4" s="257" t="s">
        <v>396</v>
      </c>
      <c r="F4" s="287" t="s">
        <v>398</v>
      </c>
      <c r="G4" s="256" t="s">
        <v>126</v>
      </c>
    </row>
    <row r="5" spans="1:7" x14ac:dyDescent="0.3">
      <c r="A5" s="251"/>
      <c r="B5" s="252" t="s">
        <v>11</v>
      </c>
      <c r="C5" s="251"/>
      <c r="D5" s="255">
        <v>5129556</v>
      </c>
      <c r="E5" s="252" t="s">
        <v>298</v>
      </c>
      <c r="F5" s="288">
        <v>65000</v>
      </c>
      <c r="G5" s="251"/>
    </row>
    <row r="6" spans="1:7" x14ac:dyDescent="0.3">
      <c r="A6" s="251"/>
      <c r="B6" s="252" t="s">
        <v>12</v>
      </c>
      <c r="C6" s="251"/>
      <c r="D6" s="255">
        <v>5129557</v>
      </c>
      <c r="E6" s="252" t="s">
        <v>301</v>
      </c>
      <c r="F6" s="288">
        <v>39000</v>
      </c>
      <c r="G6" s="251"/>
    </row>
    <row r="7" spans="1:7" ht="28.8" x14ac:dyDescent="0.3">
      <c r="A7" s="251"/>
      <c r="B7" s="252" t="s">
        <v>14</v>
      </c>
      <c r="C7" s="251"/>
      <c r="D7" s="255" t="s">
        <v>13</v>
      </c>
      <c r="E7" s="252" t="s">
        <v>316</v>
      </c>
      <c r="F7" s="288">
        <v>500000</v>
      </c>
      <c r="G7" s="251"/>
    </row>
    <row r="8" spans="1:7" x14ac:dyDescent="0.3">
      <c r="A8" s="251"/>
      <c r="B8" s="252" t="s">
        <v>15</v>
      </c>
      <c r="C8" s="251"/>
      <c r="D8" s="255">
        <v>5129558</v>
      </c>
      <c r="E8" s="252"/>
      <c r="F8" s="288">
        <v>170000</v>
      </c>
      <c r="G8" s="251"/>
    </row>
    <row r="9" spans="1:7" x14ac:dyDescent="0.3">
      <c r="A9" s="251"/>
      <c r="B9" s="252" t="s">
        <v>16</v>
      </c>
      <c r="C9" s="251"/>
      <c r="D9" s="255">
        <v>5129559</v>
      </c>
      <c r="E9" s="252"/>
      <c r="F9" s="288">
        <v>13675000</v>
      </c>
      <c r="G9" s="251"/>
    </row>
    <row r="10" spans="1:7" x14ac:dyDescent="0.3">
      <c r="A10" s="251"/>
      <c r="B10" s="252" t="s">
        <v>17</v>
      </c>
      <c r="C10" s="251"/>
      <c r="D10" s="255">
        <v>5129552</v>
      </c>
      <c r="E10" s="252" t="s">
        <v>299</v>
      </c>
      <c r="F10" s="288">
        <v>625000</v>
      </c>
      <c r="G10" s="251"/>
    </row>
    <row r="11" spans="1:7" x14ac:dyDescent="0.3">
      <c r="A11" s="251"/>
      <c r="B11" s="252"/>
      <c r="C11" s="251"/>
      <c r="D11" s="255">
        <v>5129560</v>
      </c>
      <c r="E11" s="252"/>
      <c r="F11" s="288">
        <v>1425000</v>
      </c>
      <c r="G11" s="251"/>
    </row>
    <row r="12" spans="1:7" ht="28.8" x14ac:dyDescent="0.3">
      <c r="A12" s="251"/>
      <c r="B12" s="252" t="s">
        <v>18</v>
      </c>
      <c r="C12" s="251"/>
      <c r="D12" s="255">
        <v>5129542</v>
      </c>
      <c r="E12" s="252" t="s">
        <v>300</v>
      </c>
      <c r="F12" s="288">
        <v>150000</v>
      </c>
      <c r="G12" s="251"/>
    </row>
    <row r="13" spans="1:7" ht="31.5" customHeight="1" x14ac:dyDescent="0.3">
      <c r="A13" s="251"/>
      <c r="B13" s="252" t="s">
        <v>19</v>
      </c>
      <c r="C13" s="251"/>
      <c r="D13" s="255">
        <v>5129567</v>
      </c>
      <c r="E13" s="252" t="s">
        <v>316</v>
      </c>
      <c r="F13" s="288">
        <v>1909000</v>
      </c>
      <c r="G13" s="251"/>
    </row>
    <row r="14" spans="1:7" ht="28.8" x14ac:dyDescent="0.3">
      <c r="A14" s="251"/>
      <c r="B14" s="252" t="s">
        <v>20</v>
      </c>
      <c r="C14" s="251"/>
      <c r="D14" s="255">
        <v>5129562</v>
      </c>
      <c r="E14" s="252"/>
      <c r="F14" s="288">
        <v>630000</v>
      </c>
      <c r="G14" s="251"/>
    </row>
    <row r="15" spans="1:7" x14ac:dyDescent="0.3">
      <c r="A15" s="251"/>
      <c r="B15" s="252" t="s">
        <v>23</v>
      </c>
      <c r="C15" s="251"/>
      <c r="D15" s="255" t="s">
        <v>22</v>
      </c>
      <c r="E15" s="252"/>
      <c r="F15" s="288">
        <v>5550000</v>
      </c>
      <c r="G15" s="251"/>
    </row>
    <row r="16" spans="1:7" x14ac:dyDescent="0.3">
      <c r="A16" s="251"/>
      <c r="B16" s="252" t="s">
        <v>24</v>
      </c>
      <c r="C16" s="251"/>
      <c r="D16" s="255">
        <v>5129565</v>
      </c>
      <c r="E16" s="252" t="s">
        <v>298</v>
      </c>
      <c r="F16" s="288">
        <v>76000</v>
      </c>
      <c r="G16" s="251"/>
    </row>
    <row r="17" spans="1:7" x14ac:dyDescent="0.3">
      <c r="A17" s="251"/>
      <c r="B17" s="252" t="s">
        <v>25</v>
      </c>
      <c r="C17" s="251"/>
      <c r="D17" s="255">
        <v>5129564</v>
      </c>
      <c r="E17" s="252" t="s">
        <v>298</v>
      </c>
      <c r="F17" s="288">
        <v>3285000</v>
      </c>
      <c r="G17" s="251"/>
    </row>
    <row r="18" spans="1:7" ht="28.8" x14ac:dyDescent="0.3">
      <c r="A18" s="251"/>
      <c r="B18" s="252" t="s">
        <v>29</v>
      </c>
      <c r="C18" s="251"/>
      <c r="D18" s="255" t="s">
        <v>28</v>
      </c>
      <c r="E18" s="252" t="s">
        <v>300</v>
      </c>
      <c r="F18" s="288">
        <v>1237000</v>
      </c>
      <c r="G18" s="251"/>
    </row>
    <row r="19" spans="1:7" ht="28.8" x14ac:dyDescent="0.3">
      <c r="A19" s="251"/>
      <c r="B19" s="252" t="s">
        <v>31</v>
      </c>
      <c r="C19" s="251"/>
      <c r="D19" s="255" t="s">
        <v>30</v>
      </c>
      <c r="E19" s="252" t="s">
        <v>300</v>
      </c>
      <c r="F19" s="288">
        <v>1225800</v>
      </c>
      <c r="G19" s="251"/>
    </row>
    <row r="20" spans="1:7" ht="28.8" x14ac:dyDescent="0.3">
      <c r="A20" s="251"/>
      <c r="B20" s="252" t="s">
        <v>32</v>
      </c>
      <c r="C20" s="251"/>
      <c r="D20" s="255">
        <v>5129561</v>
      </c>
      <c r="E20" s="252" t="s">
        <v>316</v>
      </c>
      <c r="F20" s="288">
        <v>4790000</v>
      </c>
      <c r="G20" s="251"/>
    </row>
    <row r="21" spans="1:7" ht="28.8" x14ac:dyDescent="0.3">
      <c r="A21" s="251"/>
      <c r="B21" s="252" t="s">
        <v>34</v>
      </c>
      <c r="C21" s="251"/>
      <c r="D21" s="255" t="s">
        <v>33</v>
      </c>
      <c r="E21" s="252" t="s">
        <v>300</v>
      </c>
      <c r="F21" s="288">
        <v>9600000</v>
      </c>
      <c r="G21" s="251"/>
    </row>
    <row r="22" spans="1:7" ht="28.8" x14ac:dyDescent="0.3">
      <c r="A22" s="251"/>
      <c r="B22" s="252" t="s">
        <v>35</v>
      </c>
      <c r="C22" s="251"/>
      <c r="D22" s="255" t="s">
        <v>36</v>
      </c>
      <c r="E22" s="252" t="s">
        <v>300</v>
      </c>
      <c r="F22" s="288">
        <v>9600000</v>
      </c>
      <c r="G22" s="251"/>
    </row>
    <row r="23" spans="1:7" ht="28.8" x14ac:dyDescent="0.3">
      <c r="A23" s="251"/>
      <c r="B23" s="252" t="s">
        <v>37</v>
      </c>
      <c r="C23" s="251"/>
      <c r="D23" s="255" t="s">
        <v>38</v>
      </c>
      <c r="E23" s="252" t="s">
        <v>300</v>
      </c>
      <c r="F23" s="288">
        <v>9600000</v>
      </c>
      <c r="G23" s="251"/>
    </row>
    <row r="24" spans="1:7" x14ac:dyDescent="0.3">
      <c r="A24" s="251"/>
      <c r="B24" s="252" t="s">
        <v>39</v>
      </c>
      <c r="C24" s="251"/>
      <c r="D24" s="255">
        <v>5129563</v>
      </c>
      <c r="E24" s="252" t="s">
        <v>297</v>
      </c>
      <c r="F24" s="288">
        <v>3243000</v>
      </c>
      <c r="G24" s="251"/>
    </row>
    <row r="25" spans="1:7" x14ac:dyDescent="0.3">
      <c r="A25" s="251"/>
      <c r="B25" s="252"/>
      <c r="C25" s="251"/>
      <c r="D25" s="255">
        <v>5129568</v>
      </c>
      <c r="E25" s="252"/>
      <c r="F25" s="288">
        <v>6999500</v>
      </c>
      <c r="G25" s="251"/>
    </row>
    <row r="26" spans="1:7" x14ac:dyDescent="0.3">
      <c r="A26" s="251"/>
      <c r="B26" s="252" t="s">
        <v>40</v>
      </c>
      <c r="C26" s="251"/>
      <c r="D26" s="255">
        <v>5129569</v>
      </c>
      <c r="E26" s="252" t="s">
        <v>300</v>
      </c>
      <c r="F26" s="288">
        <v>888500</v>
      </c>
      <c r="G26" s="251"/>
    </row>
    <row r="27" spans="1:7" ht="28.8" x14ac:dyDescent="0.3">
      <c r="A27" s="251"/>
      <c r="B27" s="252" t="s">
        <v>210</v>
      </c>
      <c r="C27" s="251"/>
      <c r="D27" s="255">
        <v>5129570</v>
      </c>
      <c r="E27" s="252" t="s">
        <v>316</v>
      </c>
      <c r="F27" s="288">
        <v>3607000</v>
      </c>
      <c r="G27" s="251"/>
    </row>
    <row r="28" spans="1:7" ht="28.8" x14ac:dyDescent="0.3">
      <c r="A28" s="251"/>
      <c r="B28" s="252" t="s">
        <v>210</v>
      </c>
      <c r="C28" s="251"/>
      <c r="D28" s="255">
        <v>5129571</v>
      </c>
      <c r="E28" s="252" t="s">
        <v>316</v>
      </c>
      <c r="F28" s="288">
        <v>3607000</v>
      </c>
      <c r="G28" s="251"/>
    </row>
    <row r="29" spans="1:7" ht="28.8" x14ac:dyDescent="0.3">
      <c r="A29" s="251"/>
      <c r="B29" s="252" t="s">
        <v>212</v>
      </c>
      <c r="C29" s="251"/>
      <c r="D29" s="255" t="s">
        <v>211</v>
      </c>
      <c r="E29" s="252" t="s">
        <v>316</v>
      </c>
      <c r="F29" s="288">
        <v>500000</v>
      </c>
      <c r="G29" s="251"/>
    </row>
    <row r="30" spans="1:7" ht="28.8" x14ac:dyDescent="0.3">
      <c r="A30" s="251"/>
      <c r="B30" s="252" t="s">
        <v>212</v>
      </c>
      <c r="C30" s="251"/>
      <c r="D30" s="255" t="s">
        <v>213</v>
      </c>
      <c r="E30" s="252" t="s">
        <v>316</v>
      </c>
      <c r="F30" s="288">
        <v>500000</v>
      </c>
      <c r="G30" s="251"/>
    </row>
    <row r="31" spans="1:7" x14ac:dyDescent="0.3">
      <c r="A31" s="251"/>
      <c r="B31" s="252" t="s">
        <v>215</v>
      </c>
      <c r="C31" s="251"/>
      <c r="D31" s="255" t="s">
        <v>214</v>
      </c>
      <c r="E31" s="252" t="s">
        <v>316</v>
      </c>
      <c r="F31" s="288">
        <v>1100000</v>
      </c>
      <c r="G31" s="251"/>
    </row>
    <row r="32" spans="1:7" x14ac:dyDescent="0.3">
      <c r="A32" s="251"/>
      <c r="B32" s="252" t="s">
        <v>216</v>
      </c>
      <c r="C32" s="251"/>
      <c r="D32" s="255">
        <v>5129573</v>
      </c>
      <c r="E32" s="252" t="s">
        <v>316</v>
      </c>
      <c r="F32" s="288">
        <v>1805000</v>
      </c>
      <c r="G32" s="251"/>
    </row>
    <row r="33" spans="1:7" ht="28.8" x14ac:dyDescent="0.3">
      <c r="A33" s="251"/>
      <c r="B33" s="252" t="s">
        <v>217</v>
      </c>
      <c r="C33" s="251"/>
      <c r="D33" s="255">
        <v>5129566</v>
      </c>
      <c r="E33" s="252" t="s">
        <v>316</v>
      </c>
      <c r="F33" s="288">
        <v>33000</v>
      </c>
      <c r="G33" s="251"/>
    </row>
    <row r="34" spans="1:7" x14ac:dyDescent="0.3">
      <c r="A34" s="251"/>
      <c r="B34" s="252" t="s">
        <v>218</v>
      </c>
      <c r="C34" s="251"/>
      <c r="D34" s="255" t="s">
        <v>214</v>
      </c>
      <c r="E34" s="252" t="s">
        <v>316</v>
      </c>
      <c r="F34" s="288">
        <v>4040695</v>
      </c>
      <c r="G34" s="251"/>
    </row>
    <row r="35" spans="1:7" x14ac:dyDescent="0.3">
      <c r="A35" s="251"/>
      <c r="B35" s="252" t="s">
        <v>219</v>
      </c>
      <c r="C35" s="251"/>
      <c r="D35" s="255">
        <v>5129572</v>
      </c>
      <c r="E35" s="252" t="s">
        <v>297</v>
      </c>
      <c r="F35" s="288">
        <v>3265000</v>
      </c>
      <c r="G35" s="251"/>
    </row>
    <row r="36" spans="1:7" x14ac:dyDescent="0.3">
      <c r="A36" s="251"/>
      <c r="B36" s="252" t="s">
        <v>220</v>
      </c>
      <c r="C36" s="251"/>
      <c r="D36" s="255">
        <v>5129574</v>
      </c>
      <c r="E36" s="252" t="s">
        <v>322</v>
      </c>
      <c r="F36" s="288">
        <v>465000</v>
      </c>
      <c r="G36" s="251"/>
    </row>
    <row r="37" spans="1:7" x14ac:dyDescent="0.3">
      <c r="A37" s="251"/>
      <c r="B37" s="252" t="s">
        <v>221</v>
      </c>
      <c r="C37" s="251"/>
      <c r="D37" s="255">
        <v>5129575</v>
      </c>
      <c r="E37" s="252"/>
      <c r="F37" s="288">
        <v>1214320</v>
      </c>
      <c r="G37" s="251"/>
    </row>
    <row r="38" spans="1:7" x14ac:dyDescent="0.3">
      <c r="A38" s="251"/>
      <c r="B38" s="252" t="s">
        <v>222</v>
      </c>
      <c r="C38" s="251"/>
      <c r="D38" s="255">
        <v>5129576</v>
      </c>
      <c r="E38" s="252" t="s">
        <v>298</v>
      </c>
      <c r="F38" s="288">
        <v>73000</v>
      </c>
      <c r="G38" s="251"/>
    </row>
    <row r="39" spans="1:7" x14ac:dyDescent="0.3">
      <c r="A39" s="251"/>
      <c r="B39" s="252"/>
      <c r="C39" s="251"/>
      <c r="D39" s="255">
        <v>5129578</v>
      </c>
      <c r="E39" s="252"/>
      <c r="F39" s="288">
        <v>10000000</v>
      </c>
      <c r="G39" s="251"/>
    </row>
    <row r="40" spans="1:7" x14ac:dyDescent="0.3">
      <c r="A40" s="251"/>
      <c r="B40" s="252" t="s">
        <v>261</v>
      </c>
      <c r="C40" s="251"/>
      <c r="D40" s="255">
        <v>5129579</v>
      </c>
      <c r="E40" s="252" t="s">
        <v>357</v>
      </c>
      <c r="F40" s="288">
        <v>4990600</v>
      </c>
      <c r="G40" s="251"/>
    </row>
    <row r="41" spans="1:7" ht="28.8" x14ac:dyDescent="0.3">
      <c r="A41" s="251"/>
      <c r="B41" s="252" t="s">
        <v>290</v>
      </c>
      <c r="C41" s="251"/>
      <c r="D41" s="255">
        <v>5129584</v>
      </c>
      <c r="E41" s="252" t="s">
        <v>300</v>
      </c>
      <c r="F41" s="288">
        <v>1387000</v>
      </c>
      <c r="G41" s="251"/>
    </row>
    <row r="42" spans="1:7" ht="28.8" x14ac:dyDescent="0.3">
      <c r="A42" s="251"/>
      <c r="B42" s="252" t="s">
        <v>262</v>
      </c>
      <c r="C42" s="251"/>
      <c r="D42" s="255">
        <v>5129580</v>
      </c>
      <c r="E42" s="252" t="s">
        <v>316</v>
      </c>
      <c r="F42" s="288">
        <v>850000</v>
      </c>
      <c r="G42" s="251"/>
    </row>
    <row r="43" spans="1:7" ht="28.8" x14ac:dyDescent="0.3">
      <c r="A43" s="251"/>
      <c r="B43" s="252" t="s">
        <v>264</v>
      </c>
      <c r="C43" s="251"/>
      <c r="D43" s="255" t="s">
        <v>263</v>
      </c>
      <c r="E43" s="252" t="s">
        <v>300</v>
      </c>
      <c r="F43" s="288">
        <v>631950</v>
      </c>
      <c r="G43" s="251"/>
    </row>
    <row r="44" spans="1:7" ht="43.2" x14ac:dyDescent="0.3">
      <c r="A44" s="251"/>
      <c r="B44" s="252" t="s">
        <v>266</v>
      </c>
      <c r="C44" s="251"/>
      <c r="D44" s="255" t="s">
        <v>265</v>
      </c>
      <c r="E44" s="252" t="s">
        <v>317</v>
      </c>
      <c r="F44" s="288">
        <v>2250000</v>
      </c>
      <c r="G44" s="251"/>
    </row>
    <row r="45" spans="1:7" x14ac:dyDescent="0.3">
      <c r="A45" s="251"/>
      <c r="B45" s="252" t="s">
        <v>267</v>
      </c>
      <c r="C45" s="251"/>
      <c r="D45" s="255">
        <v>5129592</v>
      </c>
      <c r="E45" s="252" t="s">
        <v>300</v>
      </c>
      <c r="F45" s="288">
        <v>709000</v>
      </c>
      <c r="G45" s="251"/>
    </row>
    <row r="46" spans="1:7" x14ac:dyDescent="0.3">
      <c r="A46" s="251"/>
      <c r="B46" s="252" t="s">
        <v>268</v>
      </c>
      <c r="C46" s="251"/>
      <c r="D46" s="255">
        <v>5129590</v>
      </c>
      <c r="E46" s="252" t="s">
        <v>300</v>
      </c>
      <c r="F46" s="288">
        <v>987500</v>
      </c>
      <c r="G46" s="251"/>
    </row>
    <row r="47" spans="1:7" x14ac:dyDescent="0.3">
      <c r="A47" s="251"/>
      <c r="B47" s="252" t="s">
        <v>269</v>
      </c>
      <c r="C47" s="251"/>
      <c r="D47" s="255">
        <v>5129591</v>
      </c>
      <c r="E47" s="252" t="s">
        <v>300</v>
      </c>
      <c r="F47" s="288">
        <v>987500</v>
      </c>
      <c r="G47" s="251"/>
    </row>
    <row r="48" spans="1:7" x14ac:dyDescent="0.3">
      <c r="A48" s="251"/>
      <c r="B48" s="252" t="s">
        <v>270</v>
      </c>
      <c r="C48" s="251"/>
      <c r="D48" s="255">
        <v>5129595</v>
      </c>
      <c r="E48" s="252" t="s">
        <v>298</v>
      </c>
      <c r="F48" s="288">
        <v>719500</v>
      </c>
      <c r="G48" s="251"/>
    </row>
    <row r="49" spans="1:7" ht="28.8" x14ac:dyDescent="0.3">
      <c r="A49" s="251"/>
      <c r="B49" s="252" t="s">
        <v>272</v>
      </c>
      <c r="C49" s="251"/>
      <c r="D49" s="255" t="s">
        <v>271</v>
      </c>
      <c r="E49" s="252"/>
      <c r="F49" s="288">
        <v>18500000</v>
      </c>
      <c r="G49" s="251"/>
    </row>
    <row r="50" spans="1:7" x14ac:dyDescent="0.3">
      <c r="A50" s="251"/>
      <c r="B50" s="252" t="s">
        <v>273</v>
      </c>
      <c r="C50" s="251"/>
      <c r="D50" s="255" t="s">
        <v>271</v>
      </c>
      <c r="E50" s="252" t="s">
        <v>372</v>
      </c>
      <c r="F50" s="288">
        <v>49200000</v>
      </c>
      <c r="G50" s="251"/>
    </row>
    <row r="51" spans="1:7" x14ac:dyDescent="0.3">
      <c r="A51" s="251"/>
      <c r="B51" s="252" t="s">
        <v>273</v>
      </c>
      <c r="C51" s="251"/>
      <c r="D51" s="255" t="s">
        <v>271</v>
      </c>
      <c r="E51" s="252" t="s">
        <v>372</v>
      </c>
      <c r="F51" s="288">
        <v>46800000</v>
      </c>
      <c r="G51" s="251"/>
    </row>
    <row r="52" spans="1:7" ht="28.8" x14ac:dyDescent="0.3">
      <c r="A52" s="251"/>
      <c r="B52" s="252" t="s">
        <v>274</v>
      </c>
      <c r="C52" s="251"/>
      <c r="D52" s="255">
        <v>5129587</v>
      </c>
      <c r="E52" s="252" t="s">
        <v>300</v>
      </c>
      <c r="F52" s="288">
        <v>2184500</v>
      </c>
      <c r="G52" s="251"/>
    </row>
    <row r="53" spans="1:7" x14ac:dyDescent="0.3">
      <c r="A53" s="251"/>
      <c r="B53" s="252" t="s">
        <v>275</v>
      </c>
      <c r="C53" s="251"/>
      <c r="D53" s="255">
        <v>5129577</v>
      </c>
      <c r="E53" s="252" t="s">
        <v>300</v>
      </c>
      <c r="F53" s="288">
        <v>375000</v>
      </c>
      <c r="G53" s="251"/>
    </row>
    <row r="54" spans="1:7" ht="28.8" x14ac:dyDescent="0.3">
      <c r="A54" s="251"/>
      <c r="B54" s="252" t="s">
        <v>276</v>
      </c>
      <c r="C54" s="251"/>
      <c r="D54" s="255">
        <v>5129596</v>
      </c>
      <c r="E54" s="252" t="s">
        <v>314</v>
      </c>
      <c r="F54" s="288">
        <v>522500</v>
      </c>
      <c r="G54" s="251"/>
    </row>
    <row r="55" spans="1:7" ht="28.8" x14ac:dyDescent="0.3">
      <c r="A55" s="251"/>
      <c r="B55" s="252" t="s">
        <v>277</v>
      </c>
      <c r="C55" s="251"/>
      <c r="D55" s="255">
        <v>5129583</v>
      </c>
      <c r="E55" s="252" t="s">
        <v>300</v>
      </c>
      <c r="F55" s="288">
        <v>3244000</v>
      </c>
      <c r="G55" s="251"/>
    </row>
    <row r="56" spans="1:7" x14ac:dyDescent="0.3">
      <c r="A56" s="251"/>
      <c r="B56" s="252" t="s">
        <v>278</v>
      </c>
      <c r="C56" s="251"/>
      <c r="D56" s="255">
        <v>5129594</v>
      </c>
      <c r="E56" s="252" t="s">
        <v>297</v>
      </c>
      <c r="F56" s="288">
        <v>3741000</v>
      </c>
      <c r="G56" s="251"/>
    </row>
    <row r="57" spans="1:7" x14ac:dyDescent="0.3">
      <c r="A57" s="251"/>
      <c r="B57" s="252"/>
      <c r="C57" s="251"/>
      <c r="D57" s="255"/>
      <c r="E57" s="252"/>
      <c r="F57" s="288">
        <v>1824000</v>
      </c>
      <c r="G57" s="251"/>
    </row>
    <row r="58" spans="1:7" x14ac:dyDescent="0.3">
      <c r="A58" s="251"/>
      <c r="B58" s="252" t="s">
        <v>279</v>
      </c>
      <c r="C58" s="251"/>
      <c r="D58" s="255" t="s">
        <v>271</v>
      </c>
      <c r="E58" s="252" t="s">
        <v>299</v>
      </c>
      <c r="F58" s="288">
        <v>4997500</v>
      </c>
      <c r="G58" s="251"/>
    </row>
    <row r="59" spans="1:7" x14ac:dyDescent="0.3">
      <c r="A59" s="251"/>
      <c r="B59" s="252" t="s">
        <v>281</v>
      </c>
      <c r="C59" s="251"/>
      <c r="D59" s="255" t="s">
        <v>280</v>
      </c>
      <c r="E59" s="252" t="s">
        <v>300</v>
      </c>
      <c r="F59" s="288">
        <v>900000</v>
      </c>
      <c r="G59" s="251"/>
    </row>
    <row r="60" spans="1:7" x14ac:dyDescent="0.3">
      <c r="A60" s="251"/>
      <c r="B60" s="252" t="s">
        <v>283</v>
      </c>
      <c r="C60" s="251"/>
      <c r="D60" s="255" t="s">
        <v>282</v>
      </c>
      <c r="E60" s="252" t="s">
        <v>299</v>
      </c>
      <c r="F60" s="288">
        <v>783500</v>
      </c>
      <c r="G60" s="251"/>
    </row>
    <row r="61" spans="1:7" x14ac:dyDescent="0.3">
      <c r="A61" s="251"/>
      <c r="B61" s="252" t="s">
        <v>285</v>
      </c>
      <c r="C61" s="251"/>
      <c r="D61" s="255" t="s">
        <v>284</v>
      </c>
      <c r="E61" s="252" t="s">
        <v>298</v>
      </c>
      <c r="F61" s="288">
        <v>741000</v>
      </c>
      <c r="G61" s="251"/>
    </row>
  </sheetData>
  <autoFilter ref="E3:E61"/>
  <mergeCells count="1">
    <mergeCell ref="A3:G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0"/>
  <sheetViews>
    <sheetView topLeftCell="A175" workbookViewId="0">
      <selection activeCell="C189" sqref="C189"/>
    </sheetView>
  </sheetViews>
  <sheetFormatPr baseColWidth="10" defaultColWidth="16.33203125" defaultRowHeight="14.4" x14ac:dyDescent="0.3"/>
  <cols>
    <col min="1" max="1" width="7.44140625" style="254" customWidth="1"/>
    <col min="2" max="2" width="43.5546875" style="9" customWidth="1"/>
    <col min="3" max="3" width="18.33203125" style="271" bestFit="1" customWidth="1"/>
    <col min="4" max="4" width="13" style="271" bestFit="1" customWidth="1"/>
    <col min="5" max="5" width="12.44140625" style="271" bestFit="1" customWidth="1"/>
    <col min="6" max="9" width="11.88671875" style="271" bestFit="1" customWidth="1"/>
    <col min="10" max="10" width="10.6640625" style="271" customWidth="1"/>
    <col min="11" max="11" width="12.33203125" style="271" customWidth="1"/>
    <col min="12" max="12" width="7.109375" style="271" customWidth="1"/>
    <col min="13" max="13" width="5" style="9" customWidth="1"/>
    <col min="14" max="14" width="14" style="302" customWidth="1"/>
    <col min="15" max="15" width="17.5546875" style="9" customWidth="1"/>
    <col min="16" max="16" width="7.88671875" style="9" customWidth="1"/>
    <col min="17" max="16384" width="16.33203125" style="9"/>
  </cols>
  <sheetData>
    <row r="1" spans="1:16" x14ac:dyDescent="0.3">
      <c r="A1" s="253"/>
      <c r="B1" s="252"/>
      <c r="C1" s="270"/>
      <c r="D1" s="270"/>
      <c r="E1" s="270"/>
      <c r="F1" s="270"/>
      <c r="G1" s="270"/>
      <c r="H1" s="270"/>
      <c r="I1" s="270"/>
      <c r="J1" s="270"/>
      <c r="K1" s="270"/>
      <c r="L1" s="270"/>
      <c r="M1" s="252"/>
      <c r="N1" s="299"/>
      <c r="O1" s="252"/>
      <c r="P1" s="252"/>
    </row>
    <row r="2" spans="1:16" ht="63.75" customHeight="1" x14ac:dyDescent="0.3">
      <c r="A2" s="272" t="s">
        <v>113</v>
      </c>
      <c r="B2" s="273" t="s">
        <v>401</v>
      </c>
      <c r="C2" s="274" t="s">
        <v>402</v>
      </c>
      <c r="D2" s="392" t="s">
        <v>403</v>
      </c>
      <c r="E2" s="393"/>
      <c r="F2" s="393"/>
      <c r="G2" s="393"/>
      <c r="H2" s="393"/>
      <c r="I2" s="393"/>
      <c r="J2" s="393"/>
      <c r="K2" s="393"/>
      <c r="L2" s="393"/>
      <c r="M2" s="394"/>
      <c r="N2" s="300" t="s">
        <v>725</v>
      </c>
      <c r="O2" s="275" t="s">
        <v>404</v>
      </c>
      <c r="P2" s="275" t="s">
        <v>726</v>
      </c>
    </row>
    <row r="3" spans="1:16" ht="13.5" customHeight="1" x14ac:dyDescent="0.3">
      <c r="A3" s="272"/>
      <c r="B3" s="273"/>
      <c r="C3" s="274"/>
      <c r="D3" s="395" t="s">
        <v>723</v>
      </c>
      <c r="E3" s="396"/>
      <c r="F3" s="396"/>
      <c r="G3" s="396"/>
      <c r="H3" s="397" t="s">
        <v>724</v>
      </c>
      <c r="I3" s="397"/>
      <c r="J3" s="397"/>
      <c r="K3" s="397"/>
      <c r="L3" s="294"/>
      <c r="M3" s="295"/>
      <c r="N3" s="301"/>
      <c r="O3" s="275"/>
      <c r="P3" s="275"/>
    </row>
    <row r="4" spans="1:16" x14ac:dyDescent="0.3">
      <c r="A4" s="259" t="s">
        <v>405</v>
      </c>
      <c r="B4" s="260" t="s">
        <v>406</v>
      </c>
      <c r="C4" s="276">
        <f>SUM(C5,C11,C20,C30,C40)</f>
        <v>169306000</v>
      </c>
      <c r="D4" s="276"/>
      <c r="E4" s="276"/>
      <c r="F4" s="276"/>
      <c r="G4" s="276"/>
      <c r="H4" s="276"/>
      <c r="I4" s="276"/>
      <c r="J4" s="276"/>
      <c r="K4" s="276"/>
      <c r="L4" s="276"/>
      <c r="M4" s="277"/>
      <c r="N4" s="282">
        <f>SUM(N5,N11,N20,N30,N40)</f>
        <v>28873450</v>
      </c>
      <c r="O4" s="282">
        <f t="shared" ref="O4:O12" si="0">C4-N4</f>
        <v>140432550</v>
      </c>
      <c r="P4" s="277"/>
    </row>
    <row r="5" spans="1:16" ht="28.2" x14ac:dyDescent="0.3">
      <c r="A5" s="261" t="s">
        <v>407</v>
      </c>
      <c r="B5" s="262" t="s">
        <v>408</v>
      </c>
      <c r="C5" s="278">
        <f>SUM(C6:C10)</f>
        <v>50240000</v>
      </c>
      <c r="D5" s="278"/>
      <c r="E5" s="278"/>
      <c r="F5" s="278"/>
      <c r="G5" s="278"/>
      <c r="H5" s="278"/>
      <c r="I5" s="278"/>
      <c r="J5" s="278"/>
      <c r="K5" s="278"/>
      <c r="L5" s="278"/>
      <c r="M5" s="279"/>
      <c r="N5" s="296">
        <f>SUM(N6:N10)</f>
        <v>11106500</v>
      </c>
      <c r="O5" s="296">
        <f t="shared" si="0"/>
        <v>39133500</v>
      </c>
      <c r="P5" s="279"/>
    </row>
    <row r="6" spans="1:16" x14ac:dyDescent="0.3">
      <c r="A6" s="263" t="s">
        <v>409</v>
      </c>
      <c r="B6" s="264" t="s">
        <v>410</v>
      </c>
      <c r="C6" s="280">
        <v>5440000</v>
      </c>
      <c r="D6" s="280">
        <v>65000</v>
      </c>
      <c r="E6" s="280">
        <v>73000</v>
      </c>
      <c r="F6" s="280">
        <v>719500</v>
      </c>
      <c r="G6" s="280"/>
      <c r="H6" s="280"/>
      <c r="I6" s="280"/>
      <c r="J6" s="280"/>
      <c r="K6" s="280"/>
      <c r="L6" s="280"/>
      <c r="M6" s="264"/>
      <c r="N6" s="293">
        <f>SUM(D6:M6)</f>
        <v>857500</v>
      </c>
      <c r="O6" s="293">
        <f t="shared" si="0"/>
        <v>4582500</v>
      </c>
      <c r="P6" s="264"/>
    </row>
    <row r="7" spans="1:16" x14ac:dyDescent="0.3">
      <c r="A7" s="263" t="s">
        <v>411</v>
      </c>
      <c r="B7" s="264" t="s">
        <v>412</v>
      </c>
      <c r="C7" s="280">
        <v>13440000</v>
      </c>
      <c r="D7" s="280">
        <v>3243000</v>
      </c>
      <c r="E7" s="280"/>
      <c r="F7" s="280"/>
      <c r="G7" s="280"/>
      <c r="H7" s="280"/>
      <c r="I7" s="280"/>
      <c r="J7" s="280"/>
      <c r="K7" s="280"/>
      <c r="L7" s="280"/>
      <c r="M7" s="264"/>
      <c r="N7" s="293">
        <f>SUM(D7:M7)</f>
        <v>3243000</v>
      </c>
      <c r="O7" s="293">
        <f t="shared" si="0"/>
        <v>10197000</v>
      </c>
      <c r="P7" s="264"/>
    </row>
    <row r="8" spans="1:16" x14ac:dyDescent="0.3">
      <c r="A8" s="263" t="s">
        <v>413</v>
      </c>
      <c r="B8" s="264" t="s">
        <v>414</v>
      </c>
      <c r="C8" s="280">
        <v>16000000</v>
      </c>
      <c r="D8" s="280">
        <v>3265000</v>
      </c>
      <c r="E8" s="280">
        <v>3741000</v>
      </c>
      <c r="F8" s="280"/>
      <c r="G8" s="280"/>
      <c r="H8" s="280"/>
      <c r="I8" s="280"/>
      <c r="J8" s="280"/>
      <c r="K8" s="280"/>
      <c r="L8" s="280"/>
      <c r="M8" s="264"/>
      <c r="N8" s="293">
        <f>SUM(D8:M8)</f>
        <v>7006000</v>
      </c>
      <c r="O8" s="293">
        <f t="shared" si="0"/>
        <v>8994000</v>
      </c>
      <c r="P8" s="264"/>
    </row>
    <row r="9" spans="1:16" x14ac:dyDescent="0.3">
      <c r="A9" s="263" t="s">
        <v>415</v>
      </c>
      <c r="B9" s="264" t="s">
        <v>416</v>
      </c>
      <c r="C9" s="280">
        <v>5760000</v>
      </c>
      <c r="D9" s="280"/>
      <c r="E9" s="280"/>
      <c r="F9" s="280"/>
      <c r="G9" s="280"/>
      <c r="H9" s="280"/>
      <c r="I9" s="280"/>
      <c r="J9" s="280"/>
      <c r="K9" s="280"/>
      <c r="L9" s="280"/>
      <c r="M9" s="264"/>
      <c r="N9" s="293">
        <f>SUM(D9:M9)</f>
        <v>0</v>
      </c>
      <c r="O9" s="293">
        <f t="shared" si="0"/>
        <v>5760000</v>
      </c>
      <c r="P9" s="264"/>
    </row>
    <row r="10" spans="1:16" x14ac:dyDescent="0.3">
      <c r="A10" s="263" t="s">
        <v>417</v>
      </c>
      <c r="B10" s="264" t="s">
        <v>418</v>
      </c>
      <c r="C10" s="280">
        <v>9600000</v>
      </c>
      <c r="D10" s="280"/>
      <c r="E10" s="280"/>
      <c r="F10" s="280"/>
      <c r="G10" s="280"/>
      <c r="H10" s="280"/>
      <c r="I10" s="280"/>
      <c r="J10" s="280"/>
      <c r="K10" s="280"/>
      <c r="L10" s="280"/>
      <c r="M10" s="264"/>
      <c r="N10" s="293">
        <f>SUM(D10:M10)</f>
        <v>0</v>
      </c>
      <c r="O10" s="293">
        <f t="shared" si="0"/>
        <v>9600000</v>
      </c>
      <c r="P10" s="264"/>
    </row>
    <row r="11" spans="1:16" x14ac:dyDescent="0.3">
      <c r="A11" s="265" t="s">
        <v>292</v>
      </c>
      <c r="B11" s="266" t="s">
        <v>155</v>
      </c>
      <c r="C11" s="278">
        <f>SUM(C12:C19)</f>
        <v>7030000</v>
      </c>
      <c r="D11" s="278"/>
      <c r="E11" s="278"/>
      <c r="F11" s="278"/>
      <c r="G11" s="278"/>
      <c r="H11" s="278"/>
      <c r="I11" s="278"/>
      <c r="J11" s="278"/>
      <c r="K11" s="278"/>
      <c r="L11" s="278"/>
      <c r="M11" s="279"/>
      <c r="N11" s="296">
        <f>SUM(N12:N19)</f>
        <v>5073500</v>
      </c>
      <c r="O11" s="296">
        <f t="shared" si="0"/>
        <v>1956500</v>
      </c>
      <c r="P11" s="279"/>
    </row>
    <row r="12" spans="1:16" x14ac:dyDescent="0.3">
      <c r="A12" s="263" t="s">
        <v>419</v>
      </c>
      <c r="B12" s="264" t="s">
        <v>420</v>
      </c>
      <c r="C12" s="280">
        <v>840000</v>
      </c>
      <c r="D12" s="280"/>
      <c r="E12" s="280"/>
      <c r="F12" s="280"/>
      <c r="G12" s="280"/>
      <c r="H12" s="280"/>
      <c r="I12" s="280"/>
      <c r="J12" s="280"/>
      <c r="K12" s="280"/>
      <c r="L12" s="280"/>
      <c r="M12" s="264"/>
      <c r="N12" s="293">
        <f>SUM(D12:M12)</f>
        <v>0</v>
      </c>
      <c r="O12" s="293">
        <f t="shared" si="0"/>
        <v>840000</v>
      </c>
      <c r="P12" s="264"/>
    </row>
    <row r="13" spans="1:16" x14ac:dyDescent="0.3">
      <c r="A13" s="263" t="s">
        <v>421</v>
      </c>
      <c r="B13" s="264" t="s">
        <v>422</v>
      </c>
      <c r="C13" s="280">
        <v>840000</v>
      </c>
      <c r="D13" s="280">
        <v>76000</v>
      </c>
      <c r="E13" s="280"/>
      <c r="F13" s="280"/>
      <c r="G13" s="280"/>
      <c r="H13" s="280"/>
      <c r="I13" s="280"/>
      <c r="J13" s="280"/>
      <c r="K13" s="280"/>
      <c r="L13" s="280"/>
      <c r="M13" s="264"/>
      <c r="N13" s="293">
        <f t="shared" ref="N13:N19" si="1">SUM(D13:M13)</f>
        <v>76000</v>
      </c>
      <c r="O13" s="293">
        <f t="shared" ref="O13:O19" si="2">C13-N13</f>
        <v>764000</v>
      </c>
      <c r="P13" s="264"/>
    </row>
    <row r="14" spans="1:16" x14ac:dyDescent="0.3">
      <c r="A14" s="263" t="s">
        <v>423</v>
      </c>
      <c r="B14" s="264" t="s">
        <v>424</v>
      </c>
      <c r="C14" s="280">
        <v>660000</v>
      </c>
      <c r="D14" s="280"/>
      <c r="E14" s="280"/>
      <c r="F14" s="280"/>
      <c r="G14" s="280"/>
      <c r="H14" s="280"/>
      <c r="I14" s="280"/>
      <c r="J14" s="280"/>
      <c r="K14" s="280"/>
      <c r="L14" s="280"/>
      <c r="M14" s="264"/>
      <c r="N14" s="293">
        <f t="shared" si="1"/>
        <v>0</v>
      </c>
      <c r="O14" s="293">
        <f t="shared" si="2"/>
        <v>660000</v>
      </c>
      <c r="P14" s="264"/>
    </row>
    <row r="15" spans="1:16" x14ac:dyDescent="0.3">
      <c r="A15" s="263" t="s">
        <v>425</v>
      </c>
      <c r="B15" s="264" t="s">
        <v>426</v>
      </c>
      <c r="C15" s="280">
        <v>840000</v>
      </c>
      <c r="D15" s="280"/>
      <c r="E15" s="280"/>
      <c r="F15" s="280"/>
      <c r="G15" s="280"/>
      <c r="H15" s="280"/>
      <c r="I15" s="280"/>
      <c r="J15" s="280"/>
      <c r="K15" s="280"/>
      <c r="L15" s="280"/>
      <c r="M15" s="264"/>
      <c r="N15" s="293">
        <f t="shared" si="1"/>
        <v>0</v>
      </c>
      <c r="O15" s="293">
        <f t="shared" si="2"/>
        <v>840000</v>
      </c>
      <c r="P15" s="264"/>
    </row>
    <row r="16" spans="1:16" x14ac:dyDescent="0.3">
      <c r="A16" s="263" t="s">
        <v>427</v>
      </c>
      <c r="B16" s="264" t="s">
        <v>428</v>
      </c>
      <c r="C16" s="280">
        <v>1200000</v>
      </c>
      <c r="D16" s="280"/>
      <c r="E16" s="280">
        <v>4997500</v>
      </c>
      <c r="F16" s="280"/>
      <c r="G16" s="280"/>
      <c r="H16" s="280"/>
      <c r="I16" s="280"/>
      <c r="J16" s="280"/>
      <c r="K16" s="280"/>
      <c r="L16" s="280"/>
      <c r="M16" s="264"/>
      <c r="N16" s="293">
        <f t="shared" si="1"/>
        <v>4997500</v>
      </c>
      <c r="O16" s="293">
        <f t="shared" si="2"/>
        <v>-3797500</v>
      </c>
      <c r="P16" s="264"/>
    </row>
    <row r="17" spans="1:16" x14ac:dyDescent="0.3">
      <c r="A17" s="263" t="s">
        <v>429</v>
      </c>
      <c r="B17" s="264" t="s">
        <v>430</v>
      </c>
      <c r="C17" s="280">
        <v>160000</v>
      </c>
      <c r="D17" s="280"/>
      <c r="E17" s="280"/>
      <c r="F17" s="280"/>
      <c r="G17" s="280"/>
      <c r="H17" s="280"/>
      <c r="I17" s="280"/>
      <c r="J17" s="280"/>
      <c r="K17" s="280"/>
      <c r="L17" s="280"/>
      <c r="M17" s="264"/>
      <c r="N17" s="293">
        <f t="shared" si="1"/>
        <v>0</v>
      </c>
      <c r="O17" s="293">
        <f t="shared" si="2"/>
        <v>160000</v>
      </c>
      <c r="P17" s="264"/>
    </row>
    <row r="18" spans="1:16" x14ac:dyDescent="0.3">
      <c r="A18" s="263" t="s">
        <v>431</v>
      </c>
      <c r="B18" s="264" t="s">
        <v>432</v>
      </c>
      <c r="C18" s="280">
        <v>1050000</v>
      </c>
      <c r="D18" s="280"/>
      <c r="E18" s="280"/>
      <c r="F18" s="280"/>
      <c r="G18" s="280"/>
      <c r="H18" s="280"/>
      <c r="I18" s="280"/>
      <c r="J18" s="280"/>
      <c r="K18" s="280"/>
      <c r="L18" s="280"/>
      <c r="M18" s="264"/>
      <c r="N18" s="293">
        <f t="shared" si="1"/>
        <v>0</v>
      </c>
      <c r="O18" s="293">
        <f t="shared" si="2"/>
        <v>1050000</v>
      </c>
      <c r="P18" s="264"/>
    </row>
    <row r="19" spans="1:16" x14ac:dyDescent="0.3">
      <c r="A19" s="263" t="s">
        <v>433</v>
      </c>
      <c r="B19" s="264" t="s">
        <v>434</v>
      </c>
      <c r="C19" s="280">
        <v>1440000</v>
      </c>
      <c r="D19" s="280"/>
      <c r="E19" s="280"/>
      <c r="F19" s="280"/>
      <c r="G19" s="280"/>
      <c r="H19" s="280"/>
      <c r="I19" s="280"/>
      <c r="J19" s="280"/>
      <c r="K19" s="280"/>
      <c r="L19" s="280"/>
      <c r="M19" s="264"/>
      <c r="N19" s="293">
        <f t="shared" si="1"/>
        <v>0</v>
      </c>
      <c r="O19" s="293">
        <f t="shared" si="2"/>
        <v>1440000</v>
      </c>
      <c r="P19" s="264"/>
    </row>
    <row r="20" spans="1:16" x14ac:dyDescent="0.3">
      <c r="A20" s="265" t="s">
        <v>294</v>
      </c>
      <c r="B20" s="266" t="s">
        <v>157</v>
      </c>
      <c r="C20" s="278">
        <f>SUM(C21:C29)</f>
        <v>54320000</v>
      </c>
      <c r="D20" s="278"/>
      <c r="E20" s="278"/>
      <c r="F20" s="278"/>
      <c r="G20" s="278"/>
      <c r="H20" s="278"/>
      <c r="I20" s="278"/>
      <c r="J20" s="278"/>
      <c r="K20" s="278"/>
      <c r="L20" s="278"/>
      <c r="M20" s="279"/>
      <c r="N20" s="296">
        <f>SUM(N21:N29)</f>
        <v>3285000</v>
      </c>
      <c r="O20" s="296">
        <f>C20-N20</f>
        <v>51035000</v>
      </c>
      <c r="P20" s="279"/>
    </row>
    <row r="21" spans="1:16" x14ac:dyDescent="0.3">
      <c r="A21" s="263" t="s">
        <v>435</v>
      </c>
      <c r="B21" s="264" t="s">
        <v>436</v>
      </c>
      <c r="C21" s="280">
        <v>1920000</v>
      </c>
      <c r="D21" s="280"/>
      <c r="E21" s="280"/>
      <c r="F21" s="280"/>
      <c r="G21" s="280"/>
      <c r="H21" s="280"/>
      <c r="I21" s="280"/>
      <c r="J21" s="280"/>
      <c r="K21" s="280"/>
      <c r="L21" s="280"/>
      <c r="M21" s="264"/>
      <c r="N21" s="293">
        <f>SUM(D21:M21)</f>
        <v>0</v>
      </c>
      <c r="O21" s="293">
        <f>C21-N21</f>
        <v>1920000</v>
      </c>
      <c r="P21" s="264"/>
    </row>
    <row r="22" spans="1:16" x14ac:dyDescent="0.3">
      <c r="A22" s="263" t="s">
        <v>437</v>
      </c>
      <c r="B22" s="264" t="s">
        <v>438</v>
      </c>
      <c r="C22" s="280">
        <v>3280000</v>
      </c>
      <c r="D22" s="280">
        <v>3285000</v>
      </c>
      <c r="E22" s="280"/>
      <c r="F22" s="280"/>
      <c r="G22" s="280"/>
      <c r="H22" s="280"/>
      <c r="I22" s="280"/>
      <c r="J22" s="280"/>
      <c r="K22" s="280"/>
      <c r="L22" s="280"/>
      <c r="M22" s="264"/>
      <c r="N22" s="293">
        <f t="shared" ref="N22:N29" si="3">SUM(D22:M22)</f>
        <v>3285000</v>
      </c>
      <c r="O22" s="293">
        <f t="shared" ref="O22:O29" si="4">C22-N22</f>
        <v>-5000</v>
      </c>
      <c r="P22" s="264"/>
    </row>
    <row r="23" spans="1:16" x14ac:dyDescent="0.3">
      <c r="A23" s="263" t="s">
        <v>439</v>
      </c>
      <c r="B23" s="264" t="s">
        <v>440</v>
      </c>
      <c r="C23" s="280">
        <v>8200000</v>
      </c>
      <c r="D23" s="280"/>
      <c r="E23" s="280"/>
      <c r="F23" s="280"/>
      <c r="G23" s="280"/>
      <c r="H23" s="280"/>
      <c r="I23" s="280"/>
      <c r="J23" s="280"/>
      <c r="K23" s="280"/>
      <c r="L23" s="280"/>
      <c r="M23" s="264"/>
      <c r="N23" s="293">
        <f t="shared" si="3"/>
        <v>0</v>
      </c>
      <c r="O23" s="293">
        <f t="shared" si="4"/>
        <v>8200000</v>
      </c>
      <c r="P23" s="264"/>
    </row>
    <row r="24" spans="1:16" x14ac:dyDescent="0.3">
      <c r="A24" s="263" t="s">
        <v>441</v>
      </c>
      <c r="B24" s="264" t="s">
        <v>442</v>
      </c>
      <c r="C24" s="280">
        <v>3840000</v>
      </c>
      <c r="D24" s="280"/>
      <c r="E24" s="280"/>
      <c r="F24" s="280"/>
      <c r="G24" s="280"/>
      <c r="H24" s="280"/>
      <c r="I24" s="280"/>
      <c r="J24" s="280"/>
      <c r="K24" s="280"/>
      <c r="L24" s="280"/>
      <c r="M24" s="264"/>
      <c r="N24" s="293">
        <f t="shared" si="3"/>
        <v>0</v>
      </c>
      <c r="O24" s="293">
        <f t="shared" si="4"/>
        <v>3840000</v>
      </c>
      <c r="P24" s="264"/>
    </row>
    <row r="25" spans="1:16" ht="28.2" x14ac:dyDescent="0.3">
      <c r="A25" s="263" t="s">
        <v>443</v>
      </c>
      <c r="B25" s="264" t="s">
        <v>444</v>
      </c>
      <c r="C25" s="280">
        <v>26600000</v>
      </c>
      <c r="D25" s="280"/>
      <c r="E25" s="280"/>
      <c r="F25" s="280"/>
      <c r="G25" s="280"/>
      <c r="H25" s="280"/>
      <c r="I25" s="280"/>
      <c r="J25" s="280"/>
      <c r="K25" s="280"/>
      <c r="L25" s="280"/>
      <c r="M25" s="264"/>
      <c r="N25" s="293">
        <f t="shared" si="3"/>
        <v>0</v>
      </c>
      <c r="O25" s="293">
        <f t="shared" si="4"/>
        <v>26600000</v>
      </c>
      <c r="P25" s="264"/>
    </row>
    <row r="26" spans="1:16" x14ac:dyDescent="0.3">
      <c r="A26" s="263" t="s">
        <v>445</v>
      </c>
      <c r="B26" s="264" t="s">
        <v>446</v>
      </c>
      <c r="C26" s="280">
        <v>2800000</v>
      </c>
      <c r="D26" s="280"/>
      <c r="E26" s="280"/>
      <c r="F26" s="280"/>
      <c r="G26" s="280"/>
      <c r="H26" s="280"/>
      <c r="I26" s="280"/>
      <c r="J26" s="280"/>
      <c r="K26" s="280"/>
      <c r="L26" s="280"/>
      <c r="M26" s="264"/>
      <c r="N26" s="293">
        <f t="shared" si="3"/>
        <v>0</v>
      </c>
      <c r="O26" s="293">
        <f t="shared" si="4"/>
        <v>2800000</v>
      </c>
      <c r="P26" s="264"/>
    </row>
    <row r="27" spans="1:16" x14ac:dyDescent="0.3">
      <c r="A27" s="263" t="s">
        <v>447</v>
      </c>
      <c r="B27" s="264" t="s">
        <v>448</v>
      </c>
      <c r="C27" s="280">
        <v>3360000</v>
      </c>
      <c r="D27" s="280"/>
      <c r="E27" s="280"/>
      <c r="F27" s="280"/>
      <c r="G27" s="280"/>
      <c r="H27" s="280"/>
      <c r="I27" s="280"/>
      <c r="J27" s="280"/>
      <c r="K27" s="280"/>
      <c r="L27" s="280"/>
      <c r="M27" s="264"/>
      <c r="N27" s="293">
        <f t="shared" si="3"/>
        <v>0</v>
      </c>
      <c r="O27" s="293">
        <f t="shared" si="4"/>
        <v>3360000</v>
      </c>
      <c r="P27" s="264"/>
    </row>
    <row r="28" spans="1:16" x14ac:dyDescent="0.3">
      <c r="A28" s="263" t="s">
        <v>449</v>
      </c>
      <c r="B28" s="264" t="s">
        <v>450</v>
      </c>
      <c r="C28" s="280">
        <v>2400000</v>
      </c>
      <c r="D28" s="280"/>
      <c r="E28" s="280"/>
      <c r="F28" s="280"/>
      <c r="G28" s="280"/>
      <c r="H28" s="280"/>
      <c r="I28" s="280"/>
      <c r="J28" s="280"/>
      <c r="K28" s="280"/>
      <c r="L28" s="280"/>
      <c r="M28" s="264"/>
      <c r="N28" s="293">
        <f t="shared" si="3"/>
        <v>0</v>
      </c>
      <c r="O28" s="293">
        <f t="shared" si="4"/>
        <v>2400000</v>
      </c>
      <c r="P28" s="264"/>
    </row>
    <row r="29" spans="1:16" x14ac:dyDescent="0.3">
      <c r="A29" s="263" t="s">
        <v>451</v>
      </c>
      <c r="B29" s="264" t="s">
        <v>452</v>
      </c>
      <c r="C29" s="280">
        <v>1920000</v>
      </c>
      <c r="D29" s="280"/>
      <c r="E29" s="280"/>
      <c r="F29" s="280"/>
      <c r="G29" s="280"/>
      <c r="H29" s="280"/>
      <c r="I29" s="280"/>
      <c r="J29" s="280"/>
      <c r="K29" s="280"/>
      <c r="L29" s="280"/>
      <c r="M29" s="264"/>
      <c r="N29" s="293">
        <f t="shared" si="3"/>
        <v>0</v>
      </c>
      <c r="O29" s="293">
        <f t="shared" si="4"/>
        <v>1920000</v>
      </c>
      <c r="P29" s="264"/>
    </row>
    <row r="30" spans="1:16" ht="15.75" customHeight="1" x14ac:dyDescent="0.3">
      <c r="A30" s="265" t="s">
        <v>295</v>
      </c>
      <c r="B30" s="266" t="s">
        <v>159</v>
      </c>
      <c r="C30" s="278">
        <f>SUM(C31:C39)</f>
        <v>35840000</v>
      </c>
      <c r="D30" s="278"/>
      <c r="E30" s="278"/>
      <c r="F30" s="278"/>
      <c r="G30" s="278"/>
      <c r="H30" s="278"/>
      <c r="I30" s="278"/>
      <c r="J30" s="278"/>
      <c r="K30" s="278"/>
      <c r="L30" s="278"/>
      <c r="M30" s="279"/>
      <c r="N30" s="296">
        <f>SUM(N31:N39)</f>
        <v>625000</v>
      </c>
      <c r="O30" s="296">
        <f>C30-N30</f>
        <v>35215000</v>
      </c>
      <c r="P30" s="279"/>
    </row>
    <row r="31" spans="1:16" x14ac:dyDescent="0.3">
      <c r="A31" s="263" t="s">
        <v>453</v>
      </c>
      <c r="B31" s="264" t="s">
        <v>454</v>
      </c>
      <c r="C31" s="280">
        <v>3360000</v>
      </c>
      <c r="D31" s="280"/>
      <c r="E31" s="280"/>
      <c r="F31" s="280"/>
      <c r="G31" s="280"/>
      <c r="H31" s="280"/>
      <c r="I31" s="280"/>
      <c r="J31" s="280"/>
      <c r="K31" s="280"/>
      <c r="L31" s="280"/>
      <c r="M31" s="264"/>
      <c r="N31" s="293">
        <f>SUM(D31:M31)</f>
        <v>0</v>
      </c>
      <c r="O31" s="293">
        <f>C31-N31</f>
        <v>3360000</v>
      </c>
      <c r="P31" s="264"/>
    </row>
    <row r="32" spans="1:16" x14ac:dyDescent="0.3">
      <c r="A32" s="263" t="s">
        <v>455</v>
      </c>
      <c r="B32" s="264" t="s">
        <v>456</v>
      </c>
      <c r="C32" s="280">
        <v>3600000</v>
      </c>
      <c r="D32" s="280">
        <v>625000</v>
      </c>
      <c r="E32" s="280"/>
      <c r="F32" s="280"/>
      <c r="G32" s="280"/>
      <c r="H32" s="280"/>
      <c r="I32" s="280"/>
      <c r="J32" s="280"/>
      <c r="K32" s="280"/>
      <c r="L32" s="280"/>
      <c r="M32" s="264"/>
      <c r="N32" s="293">
        <f t="shared" ref="N32:N39" si="5">SUM(D32:M32)</f>
        <v>625000</v>
      </c>
      <c r="O32" s="293">
        <f t="shared" ref="O32:O39" si="6">C32-N32</f>
        <v>2975000</v>
      </c>
      <c r="P32" s="264"/>
    </row>
    <row r="33" spans="1:16" x14ac:dyDescent="0.3">
      <c r="A33" s="263" t="s">
        <v>457</v>
      </c>
      <c r="B33" s="264" t="s">
        <v>458</v>
      </c>
      <c r="C33" s="280">
        <v>2250000</v>
      </c>
      <c r="D33" s="280"/>
      <c r="E33" s="280"/>
      <c r="F33" s="280"/>
      <c r="G33" s="280"/>
      <c r="H33" s="280"/>
      <c r="I33" s="280"/>
      <c r="J33" s="280"/>
      <c r="K33" s="280"/>
      <c r="L33" s="280"/>
      <c r="M33" s="264"/>
      <c r="N33" s="293">
        <f t="shared" si="5"/>
        <v>0</v>
      </c>
      <c r="O33" s="293">
        <f t="shared" si="6"/>
        <v>2250000</v>
      </c>
      <c r="P33" s="264"/>
    </row>
    <row r="34" spans="1:16" x14ac:dyDescent="0.3">
      <c r="A34" s="263" t="s">
        <v>459</v>
      </c>
      <c r="B34" s="264" t="s">
        <v>460</v>
      </c>
      <c r="C34" s="280">
        <v>2250000</v>
      </c>
      <c r="D34" s="280"/>
      <c r="E34" s="280"/>
      <c r="F34" s="280"/>
      <c r="G34" s="280"/>
      <c r="H34" s="280"/>
      <c r="I34" s="280"/>
      <c r="J34" s="280"/>
      <c r="K34" s="280"/>
      <c r="L34" s="280"/>
      <c r="M34" s="264"/>
      <c r="N34" s="293">
        <f t="shared" si="5"/>
        <v>0</v>
      </c>
      <c r="O34" s="293">
        <f t="shared" si="6"/>
        <v>2250000</v>
      </c>
      <c r="P34" s="264"/>
    </row>
    <row r="35" spans="1:16" ht="32.25" customHeight="1" x14ac:dyDescent="0.3">
      <c r="A35" s="263" t="s">
        <v>461</v>
      </c>
      <c r="B35" s="264" t="s">
        <v>462</v>
      </c>
      <c r="C35" s="280">
        <v>16000000</v>
      </c>
      <c r="D35" s="280"/>
      <c r="E35" s="280"/>
      <c r="F35" s="280"/>
      <c r="G35" s="280"/>
      <c r="H35" s="280"/>
      <c r="I35" s="280"/>
      <c r="J35" s="280"/>
      <c r="K35" s="280"/>
      <c r="L35" s="280"/>
      <c r="M35" s="264"/>
      <c r="N35" s="293">
        <f t="shared" si="5"/>
        <v>0</v>
      </c>
      <c r="O35" s="293">
        <f t="shared" si="6"/>
        <v>16000000</v>
      </c>
      <c r="P35" s="264"/>
    </row>
    <row r="36" spans="1:16" x14ac:dyDescent="0.3">
      <c r="A36" s="263" t="s">
        <v>463</v>
      </c>
      <c r="B36" s="264" t="s">
        <v>464</v>
      </c>
      <c r="C36" s="280">
        <v>1680000</v>
      </c>
      <c r="D36" s="280"/>
      <c r="E36" s="280"/>
      <c r="F36" s="280"/>
      <c r="G36" s="280"/>
      <c r="H36" s="280"/>
      <c r="I36" s="280"/>
      <c r="J36" s="280"/>
      <c r="K36" s="280"/>
      <c r="L36" s="280"/>
      <c r="M36" s="264"/>
      <c r="N36" s="293">
        <f t="shared" si="5"/>
        <v>0</v>
      </c>
      <c r="O36" s="293">
        <f t="shared" si="6"/>
        <v>1680000</v>
      </c>
      <c r="P36" s="264"/>
    </row>
    <row r="37" spans="1:16" x14ac:dyDescent="0.3">
      <c r="A37" s="263" t="s">
        <v>465</v>
      </c>
      <c r="B37" s="264" t="s">
        <v>466</v>
      </c>
      <c r="C37" s="280">
        <v>2700000</v>
      </c>
      <c r="D37" s="280"/>
      <c r="E37" s="280"/>
      <c r="F37" s="280"/>
      <c r="G37" s="280"/>
      <c r="H37" s="280"/>
      <c r="I37" s="280"/>
      <c r="J37" s="280"/>
      <c r="K37" s="280"/>
      <c r="L37" s="280"/>
      <c r="M37" s="264"/>
      <c r="N37" s="293">
        <f t="shared" si="5"/>
        <v>0</v>
      </c>
      <c r="O37" s="293">
        <f t="shared" si="6"/>
        <v>2700000</v>
      </c>
      <c r="P37" s="264"/>
    </row>
    <row r="38" spans="1:16" x14ac:dyDescent="0.3">
      <c r="A38" s="263" t="s">
        <v>467</v>
      </c>
      <c r="B38" s="264" t="s">
        <v>468</v>
      </c>
      <c r="C38" s="280">
        <v>2400000</v>
      </c>
      <c r="D38" s="280"/>
      <c r="E38" s="280"/>
      <c r="F38" s="280"/>
      <c r="G38" s="280"/>
      <c r="H38" s="280"/>
      <c r="I38" s="280"/>
      <c r="J38" s="280"/>
      <c r="K38" s="280"/>
      <c r="L38" s="280"/>
      <c r="M38" s="264"/>
      <c r="N38" s="293">
        <f t="shared" si="5"/>
        <v>0</v>
      </c>
      <c r="O38" s="293">
        <f t="shared" si="6"/>
        <v>2400000</v>
      </c>
      <c r="P38" s="264"/>
    </row>
    <row r="39" spans="1:16" x14ac:dyDescent="0.3">
      <c r="A39" s="263" t="s">
        <v>469</v>
      </c>
      <c r="B39" s="264" t="s">
        <v>470</v>
      </c>
      <c r="C39" s="280">
        <v>1600000</v>
      </c>
      <c r="D39" s="280"/>
      <c r="E39" s="280"/>
      <c r="F39" s="280"/>
      <c r="G39" s="280"/>
      <c r="H39" s="280"/>
      <c r="I39" s="280"/>
      <c r="J39" s="280"/>
      <c r="K39" s="280"/>
      <c r="L39" s="280"/>
      <c r="M39" s="264"/>
      <c r="N39" s="293">
        <f t="shared" si="5"/>
        <v>0</v>
      </c>
      <c r="O39" s="293">
        <f t="shared" si="6"/>
        <v>1600000</v>
      </c>
      <c r="P39" s="264"/>
    </row>
    <row r="40" spans="1:16" x14ac:dyDescent="0.3">
      <c r="A40" s="265" t="s">
        <v>471</v>
      </c>
      <c r="B40" s="266" t="s">
        <v>161</v>
      </c>
      <c r="C40" s="278">
        <f>SUM(C41:C51)</f>
        <v>21876000</v>
      </c>
      <c r="D40" s="278"/>
      <c r="E40" s="278"/>
      <c r="F40" s="278"/>
      <c r="G40" s="278"/>
      <c r="H40" s="278"/>
      <c r="I40" s="278"/>
      <c r="J40" s="278"/>
      <c r="K40" s="278"/>
      <c r="L40" s="278"/>
      <c r="M40" s="279"/>
      <c r="N40" s="296">
        <f>SUM(N41:N51)</f>
        <v>8783450</v>
      </c>
      <c r="O40" s="296">
        <f>C40-N40</f>
        <v>13092550</v>
      </c>
      <c r="P40" s="279"/>
    </row>
    <row r="41" spans="1:16" x14ac:dyDescent="0.3">
      <c r="A41" s="263" t="s">
        <v>472</v>
      </c>
      <c r="B41" s="264" t="s">
        <v>473</v>
      </c>
      <c r="C41" s="280">
        <v>480000</v>
      </c>
      <c r="D41" s="280"/>
      <c r="E41" s="280"/>
      <c r="F41" s="280"/>
      <c r="G41" s="280"/>
      <c r="H41" s="280"/>
      <c r="I41" s="280"/>
      <c r="J41" s="280"/>
      <c r="K41" s="280"/>
      <c r="L41" s="280"/>
      <c r="M41" s="264"/>
      <c r="N41" s="293">
        <f>SUM(D41:M41)</f>
        <v>0</v>
      </c>
      <c r="O41" s="293">
        <f>C41-N41</f>
        <v>480000</v>
      </c>
      <c r="P41" s="264"/>
    </row>
    <row r="42" spans="1:16" x14ac:dyDescent="0.3">
      <c r="A42" s="263" t="s">
        <v>474</v>
      </c>
      <c r="B42" s="264" t="s">
        <v>475</v>
      </c>
      <c r="C42" s="280">
        <v>288000</v>
      </c>
      <c r="D42" s="280"/>
      <c r="E42" s="280"/>
      <c r="F42" s="280"/>
      <c r="G42" s="280"/>
      <c r="H42" s="280"/>
      <c r="I42" s="280"/>
      <c r="J42" s="280"/>
      <c r="K42" s="280"/>
      <c r="L42" s="280"/>
      <c r="M42" s="264"/>
      <c r="N42" s="293">
        <f t="shared" ref="N42:N51" si="7">SUM(D42:M42)</f>
        <v>0</v>
      </c>
      <c r="O42" s="293">
        <f t="shared" ref="O42:O51" si="8">C42-N42</f>
        <v>288000</v>
      </c>
      <c r="P42" s="264"/>
    </row>
    <row r="43" spans="1:16" x14ac:dyDescent="0.3">
      <c r="A43" s="263" t="s">
        <v>476</v>
      </c>
      <c r="B43" s="264" t="s">
        <v>477</v>
      </c>
      <c r="C43" s="280">
        <v>240000</v>
      </c>
      <c r="D43" s="280"/>
      <c r="E43" s="280"/>
      <c r="F43" s="280"/>
      <c r="G43" s="280"/>
      <c r="H43" s="280"/>
      <c r="I43" s="280"/>
      <c r="J43" s="280"/>
      <c r="K43" s="280"/>
      <c r="L43" s="280"/>
      <c r="M43" s="264"/>
      <c r="N43" s="293">
        <f t="shared" si="7"/>
        <v>0</v>
      </c>
      <c r="O43" s="293">
        <f t="shared" si="8"/>
        <v>240000</v>
      </c>
      <c r="P43" s="264"/>
    </row>
    <row r="44" spans="1:16" x14ac:dyDescent="0.3">
      <c r="A44" s="263" t="s">
        <v>478</v>
      </c>
      <c r="B44" s="264" t="s">
        <v>479</v>
      </c>
      <c r="C44" s="280">
        <v>192000</v>
      </c>
      <c r="D44" s="280"/>
      <c r="E44" s="280"/>
      <c r="F44" s="280"/>
      <c r="G44" s="280"/>
      <c r="H44" s="280"/>
      <c r="I44" s="280"/>
      <c r="J44" s="280"/>
      <c r="K44" s="280"/>
      <c r="L44" s="280"/>
      <c r="M44" s="264"/>
      <c r="N44" s="293">
        <f t="shared" si="7"/>
        <v>0</v>
      </c>
      <c r="O44" s="293">
        <f t="shared" si="8"/>
        <v>192000</v>
      </c>
      <c r="P44" s="264"/>
    </row>
    <row r="45" spans="1:16" x14ac:dyDescent="0.3">
      <c r="A45" s="263" t="s">
        <v>480</v>
      </c>
      <c r="B45" s="264" t="s">
        <v>481</v>
      </c>
      <c r="C45" s="280">
        <v>224000</v>
      </c>
      <c r="D45" s="280"/>
      <c r="E45" s="280"/>
      <c r="F45" s="280"/>
      <c r="G45" s="280"/>
      <c r="H45" s="280"/>
      <c r="I45" s="280"/>
      <c r="J45" s="280"/>
      <c r="K45" s="280"/>
      <c r="L45" s="280"/>
      <c r="M45" s="264"/>
      <c r="N45" s="293">
        <f t="shared" si="7"/>
        <v>0</v>
      </c>
      <c r="O45" s="293">
        <f t="shared" si="8"/>
        <v>224000</v>
      </c>
      <c r="P45" s="264"/>
    </row>
    <row r="46" spans="1:16" x14ac:dyDescent="0.3">
      <c r="A46" s="263" t="s">
        <v>482</v>
      </c>
      <c r="B46" s="264" t="s">
        <v>483</v>
      </c>
      <c r="C46" s="280">
        <v>312000</v>
      </c>
      <c r="D46" s="280"/>
      <c r="E46" s="280"/>
      <c r="F46" s="280"/>
      <c r="G46" s="280"/>
      <c r="H46" s="280"/>
      <c r="I46" s="280"/>
      <c r="J46" s="280"/>
      <c r="K46" s="280"/>
      <c r="L46" s="280"/>
      <c r="M46" s="264"/>
      <c r="N46" s="293">
        <f t="shared" si="7"/>
        <v>0</v>
      </c>
      <c r="O46" s="293">
        <f t="shared" si="8"/>
        <v>312000</v>
      </c>
      <c r="P46" s="264"/>
    </row>
    <row r="47" spans="1:16" x14ac:dyDescent="0.3">
      <c r="A47" s="263" t="s">
        <v>484</v>
      </c>
      <c r="B47" s="264" t="s">
        <v>485</v>
      </c>
      <c r="C47" s="280">
        <v>80000</v>
      </c>
      <c r="D47" s="280">
        <v>39000</v>
      </c>
      <c r="E47" s="280"/>
      <c r="F47" s="280"/>
      <c r="G47" s="280"/>
      <c r="H47" s="280"/>
      <c r="I47" s="280"/>
      <c r="J47" s="280"/>
      <c r="K47" s="280"/>
      <c r="L47" s="280"/>
      <c r="M47" s="264"/>
      <c r="N47" s="293">
        <f t="shared" si="7"/>
        <v>39000</v>
      </c>
      <c r="O47" s="293">
        <f t="shared" si="8"/>
        <v>41000</v>
      </c>
      <c r="P47" s="264"/>
    </row>
    <row r="48" spans="1:16" x14ac:dyDescent="0.3">
      <c r="A48" s="263" t="s">
        <v>486</v>
      </c>
      <c r="B48" s="264" t="s">
        <v>487</v>
      </c>
      <c r="C48" s="280">
        <v>180000</v>
      </c>
      <c r="D48" s="280"/>
      <c r="E48" s="280"/>
      <c r="F48" s="280"/>
      <c r="G48" s="280"/>
      <c r="H48" s="280"/>
      <c r="I48" s="280"/>
      <c r="J48" s="280"/>
      <c r="K48" s="280"/>
      <c r="L48" s="280"/>
      <c r="M48" s="264"/>
      <c r="N48" s="293">
        <f t="shared" si="7"/>
        <v>0</v>
      </c>
      <c r="O48" s="293">
        <f t="shared" si="8"/>
        <v>180000</v>
      </c>
      <c r="P48" s="264"/>
    </row>
    <row r="49" spans="1:16" x14ac:dyDescent="0.3">
      <c r="A49" s="263" t="s">
        <v>488</v>
      </c>
      <c r="B49" s="264" t="s">
        <v>489</v>
      </c>
      <c r="C49" s="280">
        <v>480000</v>
      </c>
      <c r="D49" s="280"/>
      <c r="E49" s="280"/>
      <c r="F49" s="280"/>
      <c r="G49" s="280"/>
      <c r="H49" s="280"/>
      <c r="I49" s="280"/>
      <c r="J49" s="280"/>
      <c r="K49" s="280"/>
      <c r="L49" s="280"/>
      <c r="M49" s="264"/>
      <c r="N49" s="293">
        <f t="shared" si="7"/>
        <v>0</v>
      </c>
      <c r="O49" s="293">
        <f t="shared" si="8"/>
        <v>480000</v>
      </c>
      <c r="P49" s="264"/>
    </row>
    <row r="50" spans="1:16" x14ac:dyDescent="0.3">
      <c r="A50" s="263" t="s">
        <v>490</v>
      </c>
      <c r="B50" s="264" t="s">
        <v>491</v>
      </c>
      <c r="C50" s="280">
        <v>11400000</v>
      </c>
      <c r="D50" s="280">
        <v>709000</v>
      </c>
      <c r="E50" s="280">
        <v>631950</v>
      </c>
      <c r="F50" s="280">
        <v>987500</v>
      </c>
      <c r="G50" s="280">
        <v>987500</v>
      </c>
      <c r="H50" s="280">
        <v>2184500</v>
      </c>
      <c r="I50" s="280">
        <v>3244000</v>
      </c>
      <c r="J50" s="280"/>
      <c r="K50" s="280"/>
      <c r="L50" s="280"/>
      <c r="M50" s="264"/>
      <c r="N50" s="293">
        <f t="shared" si="7"/>
        <v>8744450</v>
      </c>
      <c r="O50" s="293">
        <f t="shared" si="8"/>
        <v>2655550</v>
      </c>
      <c r="P50" s="264"/>
    </row>
    <row r="51" spans="1:16" ht="28.2" x14ac:dyDescent="0.3">
      <c r="A51" s="263" t="s">
        <v>492</v>
      </c>
      <c r="B51" s="264" t="s">
        <v>493</v>
      </c>
      <c r="C51" s="280">
        <v>8000000</v>
      </c>
      <c r="D51" s="280"/>
      <c r="E51" s="280"/>
      <c r="F51" s="280"/>
      <c r="G51" s="280"/>
      <c r="H51" s="280"/>
      <c r="I51" s="280"/>
      <c r="J51" s="280"/>
      <c r="K51" s="280"/>
      <c r="L51" s="280"/>
      <c r="M51" s="264"/>
      <c r="N51" s="293">
        <f t="shared" si="7"/>
        <v>0</v>
      </c>
      <c r="O51" s="293">
        <f t="shared" si="8"/>
        <v>8000000</v>
      </c>
      <c r="P51" s="264"/>
    </row>
    <row r="52" spans="1:16" x14ac:dyDescent="0.3">
      <c r="A52" s="259">
        <v>2</v>
      </c>
      <c r="B52" s="260" t="s">
        <v>494</v>
      </c>
      <c r="C52" s="276">
        <f>SUM(C53:C63)</f>
        <v>59440000</v>
      </c>
      <c r="D52" s="276"/>
      <c r="E52" s="276"/>
      <c r="F52" s="276"/>
      <c r="G52" s="276"/>
      <c r="H52" s="276"/>
      <c r="I52" s="276"/>
      <c r="J52" s="276"/>
      <c r="K52" s="276"/>
      <c r="L52" s="276"/>
      <c r="M52" s="277"/>
      <c r="N52" s="282">
        <f>SUM(N53:N63)</f>
        <v>34370800</v>
      </c>
      <c r="O52" s="282">
        <f>SUM(C52-N52)</f>
        <v>25069200</v>
      </c>
      <c r="P52" s="277"/>
    </row>
    <row r="53" spans="1:16" x14ac:dyDescent="0.3">
      <c r="A53" s="263" t="s">
        <v>297</v>
      </c>
      <c r="B53" s="264" t="s">
        <v>495</v>
      </c>
      <c r="C53" s="280">
        <v>4500000</v>
      </c>
      <c r="D53" s="280">
        <v>375000</v>
      </c>
      <c r="E53" s="280"/>
      <c r="F53" s="280"/>
      <c r="G53" s="280"/>
      <c r="H53" s="280"/>
      <c r="I53" s="280"/>
      <c r="J53" s="280"/>
      <c r="K53" s="280"/>
      <c r="L53" s="280"/>
      <c r="M53" s="264"/>
      <c r="N53" s="293">
        <f>SUM(D53:M53)</f>
        <v>375000</v>
      </c>
      <c r="O53" s="293">
        <f>SUM(C53-N53)</f>
        <v>4125000</v>
      </c>
      <c r="P53" s="264"/>
    </row>
    <row r="54" spans="1:16" x14ac:dyDescent="0.3">
      <c r="A54" s="263" t="s">
        <v>298</v>
      </c>
      <c r="B54" s="264" t="s">
        <v>496</v>
      </c>
      <c r="C54" s="280">
        <v>2400000</v>
      </c>
      <c r="D54" s="280">
        <v>150000</v>
      </c>
      <c r="E54" s="280"/>
      <c r="F54" s="280"/>
      <c r="G54" s="280"/>
      <c r="H54" s="280"/>
      <c r="I54" s="280"/>
      <c r="J54" s="280"/>
      <c r="K54" s="280"/>
      <c r="L54" s="280"/>
      <c r="M54" s="264"/>
      <c r="N54" s="293">
        <f t="shared" ref="N54:N63" si="9">SUM(D54:M54)</f>
        <v>150000</v>
      </c>
      <c r="O54" s="293">
        <f t="shared" ref="O54:O63" si="10">SUM(C54-N54)</f>
        <v>2250000</v>
      </c>
      <c r="P54" s="264"/>
    </row>
    <row r="55" spans="1:16" x14ac:dyDescent="0.3">
      <c r="A55" s="263" t="s">
        <v>299</v>
      </c>
      <c r="B55" s="264" t="s">
        <v>497</v>
      </c>
      <c r="C55" s="280">
        <v>3840000</v>
      </c>
      <c r="D55" s="280">
        <v>1237000</v>
      </c>
      <c r="E55" s="280">
        <v>1225800</v>
      </c>
      <c r="F55" s="280">
        <v>888500</v>
      </c>
      <c r="G55" s="280"/>
      <c r="H55" s="280"/>
      <c r="I55" s="280"/>
      <c r="J55" s="280"/>
      <c r="K55" s="280"/>
      <c r="L55" s="280"/>
      <c r="M55" s="264"/>
      <c r="N55" s="293">
        <f t="shared" si="9"/>
        <v>3351300</v>
      </c>
      <c r="O55" s="293">
        <f t="shared" si="10"/>
        <v>488700</v>
      </c>
      <c r="P55" s="264"/>
    </row>
    <row r="56" spans="1:16" x14ac:dyDescent="0.3">
      <c r="A56" s="263" t="s">
        <v>300</v>
      </c>
      <c r="B56" s="264" t="s">
        <v>498</v>
      </c>
      <c r="C56" s="280">
        <v>540000</v>
      </c>
      <c r="D56" s="280"/>
      <c r="E56" s="280"/>
      <c r="F56" s="280"/>
      <c r="G56" s="280"/>
      <c r="H56" s="280"/>
      <c r="I56" s="280"/>
      <c r="J56" s="280"/>
      <c r="K56" s="280"/>
      <c r="L56" s="280"/>
      <c r="M56" s="264"/>
      <c r="N56" s="293">
        <f t="shared" si="9"/>
        <v>0</v>
      </c>
      <c r="O56" s="293">
        <f t="shared" si="10"/>
        <v>540000</v>
      </c>
      <c r="P56" s="264"/>
    </row>
    <row r="57" spans="1:16" ht="28.2" x14ac:dyDescent="0.3">
      <c r="A57" s="263" t="s">
        <v>301</v>
      </c>
      <c r="B57" s="264" t="s">
        <v>499</v>
      </c>
      <c r="C57" s="280">
        <v>2160000</v>
      </c>
      <c r="D57" s="280">
        <v>170000</v>
      </c>
      <c r="E57" s="280">
        <v>741000</v>
      </c>
      <c r="F57" s="280">
        <v>783500</v>
      </c>
      <c r="G57" s="280"/>
      <c r="H57" s="280"/>
      <c r="I57" s="280"/>
      <c r="J57" s="280"/>
      <c r="K57" s="280"/>
      <c r="L57" s="280"/>
      <c r="M57" s="264"/>
      <c r="N57" s="293">
        <f t="shared" si="9"/>
        <v>1694500</v>
      </c>
      <c r="O57" s="293">
        <f t="shared" si="10"/>
        <v>465500</v>
      </c>
      <c r="P57" s="264"/>
    </row>
    <row r="58" spans="1:16" ht="28.2" x14ac:dyDescent="0.3">
      <c r="A58" s="263" t="s">
        <v>500</v>
      </c>
      <c r="B58" s="264" t="s">
        <v>501</v>
      </c>
      <c r="C58" s="280">
        <v>38400000</v>
      </c>
      <c r="D58" s="280">
        <v>9600000</v>
      </c>
      <c r="E58" s="280">
        <v>9600000</v>
      </c>
      <c r="F58" s="280">
        <v>9600000</v>
      </c>
      <c r="G58" s="280"/>
      <c r="H58" s="280"/>
      <c r="I58" s="280"/>
      <c r="J58" s="280"/>
      <c r="K58" s="280"/>
      <c r="L58" s="280"/>
      <c r="M58" s="264"/>
      <c r="N58" s="293">
        <f t="shared" si="9"/>
        <v>28800000</v>
      </c>
      <c r="O58" s="293">
        <f t="shared" si="10"/>
        <v>9600000</v>
      </c>
      <c r="P58" s="264"/>
    </row>
    <row r="59" spans="1:16" x14ac:dyDescent="0.3">
      <c r="A59" s="263" t="s">
        <v>502</v>
      </c>
      <c r="B59" s="264" t="s">
        <v>503</v>
      </c>
      <c r="C59" s="280">
        <v>900000</v>
      </c>
      <c r="D59" s="280"/>
      <c r="E59" s="280"/>
      <c r="F59" s="280"/>
      <c r="G59" s="280"/>
      <c r="H59" s="280"/>
      <c r="I59" s="280"/>
      <c r="J59" s="280"/>
      <c r="K59" s="280"/>
      <c r="L59" s="280"/>
      <c r="M59" s="264"/>
      <c r="N59" s="293">
        <f t="shared" si="9"/>
        <v>0</v>
      </c>
      <c r="O59" s="293">
        <f t="shared" si="10"/>
        <v>900000</v>
      </c>
      <c r="P59" s="264"/>
    </row>
    <row r="60" spans="1:16" x14ac:dyDescent="0.3">
      <c r="A60" s="263" t="s">
        <v>504</v>
      </c>
      <c r="B60" s="264" t="s">
        <v>505</v>
      </c>
      <c r="C60" s="280">
        <v>1800000</v>
      </c>
      <c r="D60" s="280"/>
      <c r="E60" s="280"/>
      <c r="F60" s="280"/>
      <c r="G60" s="280"/>
      <c r="H60" s="280"/>
      <c r="I60" s="280"/>
      <c r="J60" s="280"/>
      <c r="K60" s="280"/>
      <c r="L60" s="280"/>
      <c r="M60" s="264"/>
      <c r="N60" s="293">
        <f t="shared" si="9"/>
        <v>0</v>
      </c>
      <c r="O60" s="293">
        <f t="shared" si="10"/>
        <v>1800000</v>
      </c>
      <c r="P60" s="264"/>
    </row>
    <row r="61" spans="1:16" ht="28.2" x14ac:dyDescent="0.3">
      <c r="A61" s="263" t="s">
        <v>506</v>
      </c>
      <c r="B61" s="264" t="s">
        <v>507</v>
      </c>
      <c r="C61" s="280">
        <v>2400000</v>
      </c>
      <c r="D61" s="280"/>
      <c r="E61" s="280"/>
      <c r="F61" s="280"/>
      <c r="G61" s="280"/>
      <c r="H61" s="280"/>
      <c r="I61" s="280"/>
      <c r="J61" s="280"/>
      <c r="K61" s="280"/>
      <c r="L61" s="280"/>
      <c r="M61" s="264"/>
      <c r="N61" s="293">
        <f t="shared" si="9"/>
        <v>0</v>
      </c>
      <c r="O61" s="293" t="s">
        <v>727</v>
      </c>
      <c r="P61" s="264"/>
    </row>
    <row r="62" spans="1:16" x14ac:dyDescent="0.3">
      <c r="A62" s="263" t="s">
        <v>508</v>
      </c>
      <c r="B62" s="264" t="s">
        <v>509</v>
      </c>
      <c r="C62" s="280">
        <v>1500000</v>
      </c>
      <c r="D62" s="280"/>
      <c r="E62" s="280"/>
      <c r="F62" s="280"/>
      <c r="G62" s="280"/>
      <c r="H62" s="280"/>
      <c r="I62" s="280"/>
      <c r="J62" s="280"/>
      <c r="K62" s="280"/>
      <c r="L62" s="280"/>
      <c r="M62" s="264"/>
      <c r="N62" s="293">
        <f t="shared" si="9"/>
        <v>0</v>
      </c>
      <c r="O62" s="293">
        <f t="shared" si="10"/>
        <v>1500000</v>
      </c>
      <c r="P62" s="264"/>
    </row>
    <row r="63" spans="1:16" ht="28.2" x14ac:dyDescent="0.3">
      <c r="A63" s="263" t="s">
        <v>510</v>
      </c>
      <c r="B63" s="264" t="s">
        <v>511</v>
      </c>
      <c r="C63" s="280">
        <v>1000000</v>
      </c>
      <c r="D63" s="280"/>
      <c r="E63" s="280"/>
      <c r="F63" s="280"/>
      <c r="G63" s="280"/>
      <c r="H63" s="280"/>
      <c r="I63" s="280"/>
      <c r="J63" s="280"/>
      <c r="K63" s="280"/>
      <c r="L63" s="280"/>
      <c r="M63" s="264"/>
      <c r="N63" s="293">
        <f t="shared" si="9"/>
        <v>0</v>
      </c>
      <c r="O63" s="293">
        <f t="shared" si="10"/>
        <v>1000000</v>
      </c>
      <c r="P63" s="264"/>
    </row>
    <row r="64" spans="1:16" x14ac:dyDescent="0.3">
      <c r="A64" s="259">
        <v>3</v>
      </c>
      <c r="B64" s="260" t="s">
        <v>512</v>
      </c>
      <c r="C64" s="276">
        <f>SUM(C65:C70)</f>
        <v>201925600</v>
      </c>
      <c r="D64" s="276"/>
      <c r="E64" s="276"/>
      <c r="F64" s="276"/>
      <c r="G64" s="276"/>
      <c r="H64" s="276"/>
      <c r="I64" s="276"/>
      <c r="J64" s="276"/>
      <c r="K64" s="276"/>
      <c r="L64" s="276"/>
      <c r="M64" s="277"/>
      <c r="N64" s="282">
        <f>SUM(N65:N70)</f>
        <v>525000</v>
      </c>
      <c r="O64" s="282">
        <f t="shared" ref="O64:O85" si="11">SUM(C64-N64)</f>
        <v>201400600</v>
      </c>
      <c r="P64" s="277"/>
    </row>
    <row r="65" spans="1:16" ht="28.2" x14ac:dyDescent="0.3">
      <c r="A65" s="263" t="s">
        <v>302</v>
      </c>
      <c r="B65" s="264" t="s">
        <v>513</v>
      </c>
      <c r="C65" s="280">
        <v>46500000</v>
      </c>
      <c r="D65" s="280"/>
      <c r="E65" s="280"/>
      <c r="F65" s="280"/>
      <c r="G65" s="280"/>
      <c r="H65" s="280"/>
      <c r="I65" s="280"/>
      <c r="J65" s="280"/>
      <c r="K65" s="280"/>
      <c r="L65" s="280"/>
      <c r="M65" s="264"/>
      <c r="N65" s="293">
        <f t="shared" ref="N65:N70" si="12">SUM(D65:M65)</f>
        <v>0</v>
      </c>
      <c r="O65" s="293">
        <f t="shared" si="11"/>
        <v>46500000</v>
      </c>
      <c r="P65" s="264"/>
    </row>
    <row r="66" spans="1:16" x14ac:dyDescent="0.3">
      <c r="A66" s="263" t="s">
        <v>304</v>
      </c>
      <c r="B66" s="264" t="s">
        <v>514</v>
      </c>
      <c r="C66" s="280">
        <v>48000000</v>
      </c>
      <c r="D66" s="280">
        <v>525000</v>
      </c>
      <c r="E66" s="280"/>
      <c r="F66" s="280"/>
      <c r="G66" s="280"/>
      <c r="H66" s="280"/>
      <c r="I66" s="280"/>
      <c r="J66" s="280"/>
      <c r="K66" s="280"/>
      <c r="L66" s="280"/>
      <c r="M66" s="264"/>
      <c r="N66" s="293">
        <f t="shared" si="12"/>
        <v>525000</v>
      </c>
      <c r="O66" s="293">
        <f t="shared" si="11"/>
        <v>47475000</v>
      </c>
      <c r="P66" s="264"/>
    </row>
    <row r="67" spans="1:16" x14ac:dyDescent="0.3">
      <c r="A67" s="263" t="s">
        <v>515</v>
      </c>
      <c r="B67" s="264" t="s">
        <v>516</v>
      </c>
      <c r="C67" s="280">
        <v>20000000</v>
      </c>
      <c r="D67" s="280"/>
      <c r="E67" s="280"/>
      <c r="F67" s="280"/>
      <c r="G67" s="280"/>
      <c r="H67" s="280"/>
      <c r="I67" s="280"/>
      <c r="J67" s="280"/>
      <c r="K67" s="280"/>
      <c r="L67" s="280"/>
      <c r="M67" s="264"/>
      <c r="N67" s="293">
        <f t="shared" si="12"/>
        <v>0</v>
      </c>
      <c r="O67" s="293">
        <f t="shared" si="11"/>
        <v>20000000</v>
      </c>
      <c r="P67" s="264"/>
    </row>
    <row r="68" spans="1:16" ht="28.2" x14ac:dyDescent="0.3">
      <c r="A68" s="263" t="s">
        <v>517</v>
      </c>
      <c r="B68" s="264" t="s">
        <v>518</v>
      </c>
      <c r="C68" s="280">
        <v>26240000</v>
      </c>
      <c r="D68" s="280"/>
      <c r="E68" s="280"/>
      <c r="F68" s="280"/>
      <c r="G68" s="280"/>
      <c r="H68" s="280"/>
      <c r="I68" s="280"/>
      <c r="J68" s="280"/>
      <c r="K68" s="280"/>
      <c r="L68" s="280"/>
      <c r="M68" s="264"/>
      <c r="N68" s="293">
        <f t="shared" si="12"/>
        <v>0</v>
      </c>
      <c r="O68" s="293">
        <f t="shared" si="11"/>
        <v>26240000</v>
      </c>
      <c r="P68" s="264"/>
    </row>
    <row r="69" spans="1:16" ht="28.2" x14ac:dyDescent="0.3">
      <c r="A69" s="263" t="s">
        <v>306</v>
      </c>
      <c r="B69" s="264" t="s">
        <v>519</v>
      </c>
      <c r="C69" s="280">
        <v>39800000</v>
      </c>
      <c r="D69" s="280"/>
      <c r="E69" s="280"/>
      <c r="F69" s="280"/>
      <c r="G69" s="280"/>
      <c r="H69" s="280"/>
      <c r="I69" s="280"/>
      <c r="J69" s="280"/>
      <c r="K69" s="280"/>
      <c r="L69" s="280"/>
      <c r="M69" s="264"/>
      <c r="N69" s="293">
        <f t="shared" si="12"/>
        <v>0</v>
      </c>
      <c r="O69" s="293">
        <f t="shared" si="11"/>
        <v>39800000</v>
      </c>
      <c r="P69" s="264"/>
    </row>
    <row r="70" spans="1:16" x14ac:dyDescent="0.3">
      <c r="A70" s="263" t="s">
        <v>308</v>
      </c>
      <c r="B70" s="264" t="s">
        <v>520</v>
      </c>
      <c r="C70" s="280">
        <v>21385600</v>
      </c>
      <c r="D70" s="280"/>
      <c r="E70" s="280"/>
      <c r="F70" s="280"/>
      <c r="G70" s="280"/>
      <c r="H70" s="280"/>
      <c r="I70" s="280"/>
      <c r="J70" s="280"/>
      <c r="K70" s="280"/>
      <c r="L70" s="280"/>
      <c r="M70" s="264"/>
      <c r="N70" s="293">
        <f t="shared" si="12"/>
        <v>0</v>
      </c>
      <c r="O70" s="293">
        <f t="shared" si="11"/>
        <v>21385600</v>
      </c>
      <c r="P70" s="264"/>
    </row>
    <row r="71" spans="1:16" x14ac:dyDescent="0.3">
      <c r="A71" s="259">
        <v>4</v>
      </c>
      <c r="B71" s="260" t="s">
        <v>167</v>
      </c>
      <c r="C71" s="276">
        <f>SUM(C72:C77)</f>
        <v>207400000</v>
      </c>
      <c r="D71" s="276"/>
      <c r="E71" s="276"/>
      <c r="F71" s="276"/>
      <c r="G71" s="276"/>
      <c r="H71" s="276"/>
      <c r="I71" s="276"/>
      <c r="J71" s="276"/>
      <c r="K71" s="276"/>
      <c r="L71" s="276"/>
      <c r="M71" s="277"/>
      <c r="N71" s="297">
        <f>SUM(N72:N77)</f>
        <v>0</v>
      </c>
      <c r="O71" s="282">
        <f t="shared" si="11"/>
        <v>207400000</v>
      </c>
      <c r="P71" s="277"/>
    </row>
    <row r="72" spans="1:16" x14ac:dyDescent="0.3">
      <c r="A72" s="263" t="s">
        <v>314</v>
      </c>
      <c r="B72" s="264" t="s">
        <v>521</v>
      </c>
      <c r="C72" s="280">
        <v>60000000</v>
      </c>
      <c r="D72" s="280"/>
      <c r="E72" s="280"/>
      <c r="F72" s="280"/>
      <c r="G72" s="280"/>
      <c r="H72" s="280"/>
      <c r="I72" s="280"/>
      <c r="J72" s="280"/>
      <c r="K72" s="280"/>
      <c r="L72" s="280"/>
      <c r="M72" s="264"/>
      <c r="N72" s="293">
        <f t="shared" ref="N72:N77" si="13">SUM(D72:M72)</f>
        <v>0</v>
      </c>
      <c r="O72" s="293">
        <f t="shared" si="11"/>
        <v>60000000</v>
      </c>
      <c r="P72" s="264"/>
    </row>
    <row r="73" spans="1:16" x14ac:dyDescent="0.3">
      <c r="A73" s="263" t="s">
        <v>315</v>
      </c>
      <c r="B73" s="264" t="s">
        <v>522</v>
      </c>
      <c r="C73" s="280">
        <v>45000000</v>
      </c>
      <c r="D73" s="280"/>
      <c r="E73" s="280"/>
      <c r="F73" s="280"/>
      <c r="G73" s="280"/>
      <c r="H73" s="280"/>
      <c r="I73" s="280"/>
      <c r="J73" s="280"/>
      <c r="K73" s="280"/>
      <c r="L73" s="280"/>
      <c r="M73" s="264"/>
      <c r="N73" s="293">
        <f t="shared" si="13"/>
        <v>0</v>
      </c>
      <c r="O73" s="293">
        <f t="shared" si="11"/>
        <v>45000000</v>
      </c>
      <c r="P73" s="264"/>
    </row>
    <row r="74" spans="1:16" x14ac:dyDescent="0.3">
      <c r="A74" s="263" t="s">
        <v>523</v>
      </c>
      <c r="B74" s="264" t="s">
        <v>524</v>
      </c>
      <c r="C74" s="280">
        <v>60000000</v>
      </c>
      <c r="D74" s="280"/>
      <c r="E74" s="280"/>
      <c r="F74" s="280"/>
      <c r="G74" s="280"/>
      <c r="H74" s="280"/>
      <c r="I74" s="280"/>
      <c r="J74" s="280"/>
      <c r="K74" s="280"/>
      <c r="L74" s="280"/>
      <c r="M74" s="264"/>
      <c r="N74" s="293">
        <f t="shared" si="13"/>
        <v>0</v>
      </c>
      <c r="O74" s="293">
        <f t="shared" si="11"/>
        <v>60000000</v>
      </c>
      <c r="P74" s="264"/>
    </row>
    <row r="75" spans="1:16" x14ac:dyDescent="0.3">
      <c r="A75" s="263" t="s">
        <v>525</v>
      </c>
      <c r="B75" s="264" t="s">
        <v>526</v>
      </c>
      <c r="C75" s="280">
        <v>28000000</v>
      </c>
      <c r="D75" s="280"/>
      <c r="E75" s="280"/>
      <c r="F75" s="280"/>
      <c r="G75" s="280"/>
      <c r="H75" s="280"/>
      <c r="I75" s="280"/>
      <c r="J75" s="280"/>
      <c r="K75" s="280"/>
      <c r="L75" s="280"/>
      <c r="M75" s="264"/>
      <c r="N75" s="293">
        <f t="shared" si="13"/>
        <v>0</v>
      </c>
      <c r="O75" s="293">
        <f t="shared" si="11"/>
        <v>28000000</v>
      </c>
      <c r="P75" s="264"/>
    </row>
    <row r="76" spans="1:16" x14ac:dyDescent="0.3">
      <c r="A76" s="263" t="s">
        <v>527</v>
      </c>
      <c r="B76" s="264" t="s">
        <v>528</v>
      </c>
      <c r="C76" s="280">
        <v>2400000</v>
      </c>
      <c r="D76" s="280"/>
      <c r="E76" s="280"/>
      <c r="F76" s="280"/>
      <c r="G76" s="280"/>
      <c r="H76" s="280"/>
      <c r="I76" s="280"/>
      <c r="J76" s="280"/>
      <c r="K76" s="280"/>
      <c r="L76" s="280"/>
      <c r="M76" s="264"/>
      <c r="N76" s="293">
        <f t="shared" si="13"/>
        <v>0</v>
      </c>
      <c r="O76" s="293">
        <f t="shared" si="11"/>
        <v>2400000</v>
      </c>
      <c r="P76" s="264"/>
    </row>
    <row r="77" spans="1:16" x14ac:dyDescent="0.3">
      <c r="A77" s="263" t="s">
        <v>529</v>
      </c>
      <c r="B77" s="264" t="s">
        <v>530</v>
      </c>
      <c r="C77" s="280">
        <v>12000000</v>
      </c>
      <c r="D77" s="280"/>
      <c r="E77" s="280"/>
      <c r="F77" s="280"/>
      <c r="G77" s="280"/>
      <c r="H77" s="280"/>
      <c r="I77" s="280"/>
      <c r="J77" s="280"/>
      <c r="K77" s="280"/>
      <c r="L77" s="280"/>
      <c r="M77" s="264"/>
      <c r="N77" s="293">
        <f t="shared" si="13"/>
        <v>0</v>
      </c>
      <c r="O77" s="293">
        <f t="shared" si="11"/>
        <v>12000000</v>
      </c>
      <c r="P77" s="264"/>
    </row>
    <row r="78" spans="1:16" ht="28.2" x14ac:dyDescent="0.3">
      <c r="A78" s="267">
        <v>5</v>
      </c>
      <c r="B78" s="260" t="s">
        <v>531</v>
      </c>
      <c r="C78" s="276">
        <f>SUM(C79:C82)</f>
        <v>44214000</v>
      </c>
      <c r="D78" s="276"/>
      <c r="E78" s="276"/>
      <c r="F78" s="276"/>
      <c r="G78" s="276"/>
      <c r="H78" s="276"/>
      <c r="I78" s="276"/>
      <c r="J78" s="276"/>
      <c r="K78" s="276"/>
      <c r="L78" s="276"/>
      <c r="M78" s="277"/>
      <c r="N78" s="297">
        <f>SUM(N79:N82)</f>
        <v>14663695</v>
      </c>
      <c r="O78" s="282">
        <f t="shared" si="11"/>
        <v>29550305</v>
      </c>
      <c r="P78" s="277"/>
    </row>
    <row r="79" spans="1:16" ht="28.2" x14ac:dyDescent="0.3">
      <c r="A79" s="263" t="s">
        <v>316</v>
      </c>
      <c r="B79" s="264" t="s">
        <v>532</v>
      </c>
      <c r="C79" s="280">
        <v>11600000</v>
      </c>
      <c r="D79" s="280">
        <v>500000</v>
      </c>
      <c r="E79" s="280">
        <v>500000</v>
      </c>
      <c r="F79" s="280">
        <v>500000</v>
      </c>
      <c r="G79" s="280"/>
      <c r="H79" s="280"/>
      <c r="I79" s="280"/>
      <c r="J79" s="280"/>
      <c r="K79" s="280"/>
      <c r="L79" s="280"/>
      <c r="M79" s="264"/>
      <c r="N79" s="293">
        <f>SUM(D79:M79)</f>
        <v>1500000</v>
      </c>
      <c r="O79" s="293">
        <f t="shared" si="11"/>
        <v>10100000</v>
      </c>
      <c r="P79" s="264"/>
    </row>
    <row r="80" spans="1:16" ht="28.2" x14ac:dyDescent="0.3">
      <c r="A80" s="263" t="s">
        <v>317</v>
      </c>
      <c r="B80" s="264" t="s">
        <v>533</v>
      </c>
      <c r="C80" s="280">
        <v>7214000</v>
      </c>
      <c r="D80" s="280">
        <v>3607000</v>
      </c>
      <c r="E80" s="280">
        <v>3607000</v>
      </c>
      <c r="F80" s="280"/>
      <c r="G80" s="280"/>
      <c r="H80" s="280"/>
      <c r="I80" s="280"/>
      <c r="J80" s="280"/>
      <c r="K80" s="280"/>
      <c r="L80" s="280"/>
      <c r="M80" s="264"/>
      <c r="N80" s="293">
        <f>SUM(D80:M80)</f>
        <v>7214000</v>
      </c>
      <c r="O80" s="293">
        <f t="shared" si="11"/>
        <v>0</v>
      </c>
      <c r="P80" s="264"/>
    </row>
    <row r="81" spans="1:16" ht="28.2" x14ac:dyDescent="0.3">
      <c r="A81" s="263" t="s">
        <v>534</v>
      </c>
      <c r="B81" s="264" t="s">
        <v>535</v>
      </c>
      <c r="C81" s="280">
        <v>8000000</v>
      </c>
      <c r="D81" s="280">
        <v>4040695</v>
      </c>
      <c r="E81" s="280"/>
      <c r="F81" s="280"/>
      <c r="G81" s="280"/>
      <c r="H81" s="280"/>
      <c r="I81" s="280"/>
      <c r="J81" s="280"/>
      <c r="K81" s="280"/>
      <c r="L81" s="280"/>
      <c r="M81" s="264"/>
      <c r="N81" s="293">
        <f>SUM(D81:M81)</f>
        <v>4040695</v>
      </c>
      <c r="O81" s="293">
        <f t="shared" si="11"/>
        <v>3959305</v>
      </c>
      <c r="P81" s="264"/>
    </row>
    <row r="82" spans="1:16" ht="28.2" x14ac:dyDescent="0.3">
      <c r="A82" s="263" t="s">
        <v>536</v>
      </c>
      <c r="B82" s="264" t="s">
        <v>537</v>
      </c>
      <c r="C82" s="280">
        <v>17400000</v>
      </c>
      <c r="D82" s="280">
        <v>1909000</v>
      </c>
      <c r="E82" s="280"/>
      <c r="F82" s="280"/>
      <c r="G82" s="280"/>
      <c r="H82" s="280"/>
      <c r="I82" s="280"/>
      <c r="J82" s="280"/>
      <c r="K82" s="280"/>
      <c r="L82" s="280"/>
      <c r="M82" s="264"/>
      <c r="N82" s="293">
        <f>SUM(D82:M82)</f>
        <v>1909000</v>
      </c>
      <c r="O82" s="293">
        <f t="shared" si="11"/>
        <v>15491000</v>
      </c>
      <c r="P82" s="264"/>
    </row>
    <row r="83" spans="1:16" ht="28.2" x14ac:dyDescent="0.3">
      <c r="A83" s="269">
        <v>6</v>
      </c>
      <c r="B83" s="268" t="s">
        <v>538</v>
      </c>
      <c r="C83" s="276">
        <f>C84</f>
        <v>6410458023.3029995</v>
      </c>
      <c r="D83" s="276"/>
      <c r="E83" s="276"/>
      <c r="F83" s="276"/>
      <c r="G83" s="276"/>
      <c r="H83" s="276"/>
      <c r="I83" s="276"/>
      <c r="J83" s="276"/>
      <c r="K83" s="276"/>
      <c r="L83" s="276"/>
      <c r="M83" s="277"/>
      <c r="N83" s="297">
        <f>SUM(N84)</f>
        <v>121264320</v>
      </c>
      <c r="O83" s="297">
        <f t="shared" si="11"/>
        <v>6289193703.3029995</v>
      </c>
      <c r="P83" s="277"/>
    </row>
    <row r="84" spans="1:16" x14ac:dyDescent="0.3">
      <c r="A84" s="391" t="s">
        <v>539</v>
      </c>
      <c r="B84" s="391"/>
      <c r="C84" s="278">
        <f>SUM(C85:C117)</f>
        <v>6410458023.3029995</v>
      </c>
      <c r="D84" s="278"/>
      <c r="E84" s="278"/>
      <c r="F84" s="278"/>
      <c r="G84" s="278"/>
      <c r="H84" s="278"/>
      <c r="I84" s="278"/>
      <c r="J84" s="278"/>
      <c r="K84" s="278"/>
      <c r="L84" s="278"/>
      <c r="M84" s="279"/>
      <c r="N84" s="298">
        <f>SUM(N85:N117)</f>
        <v>121264320</v>
      </c>
      <c r="O84" s="298">
        <f t="shared" si="11"/>
        <v>6289193703.3029995</v>
      </c>
      <c r="P84" s="279"/>
    </row>
    <row r="85" spans="1:16" x14ac:dyDescent="0.3">
      <c r="A85" s="263" t="s">
        <v>318</v>
      </c>
      <c r="B85" s="264" t="s">
        <v>362</v>
      </c>
      <c r="C85" s="280">
        <v>1806323878</v>
      </c>
      <c r="D85" s="280"/>
      <c r="E85" s="280"/>
      <c r="F85" s="280"/>
      <c r="G85" s="280"/>
      <c r="H85" s="280"/>
      <c r="I85" s="280"/>
      <c r="J85" s="280"/>
      <c r="K85" s="280"/>
      <c r="L85" s="280"/>
      <c r="M85" s="264"/>
      <c r="N85" s="293">
        <f>SUM(D85:M85)</f>
        <v>0</v>
      </c>
      <c r="O85" s="293">
        <f t="shared" si="11"/>
        <v>1806323878</v>
      </c>
      <c r="P85" s="264"/>
    </row>
    <row r="86" spans="1:16" x14ac:dyDescent="0.3">
      <c r="A86" s="263"/>
      <c r="B86" s="264"/>
      <c r="C86" s="280">
        <v>658790769</v>
      </c>
      <c r="D86" s="280"/>
      <c r="E86" s="280"/>
      <c r="F86" s="280"/>
      <c r="G86" s="280"/>
      <c r="H86" s="280"/>
      <c r="I86" s="280"/>
      <c r="J86" s="280"/>
      <c r="K86" s="280"/>
      <c r="L86" s="280"/>
      <c r="M86" s="264"/>
      <c r="N86" s="293">
        <f t="shared" ref="N86:N117" si="14">SUM(D86:M86)</f>
        <v>0</v>
      </c>
      <c r="O86" s="293">
        <f t="shared" ref="O86:O117" si="15">SUM(C86-N86)</f>
        <v>658790769</v>
      </c>
      <c r="P86" s="264"/>
    </row>
    <row r="87" spans="1:16" x14ac:dyDescent="0.3">
      <c r="A87" s="263" t="s">
        <v>320</v>
      </c>
      <c r="B87" s="264" t="s">
        <v>364</v>
      </c>
      <c r="C87" s="280">
        <v>151876348</v>
      </c>
      <c r="D87" s="280"/>
      <c r="E87" s="280"/>
      <c r="F87" s="280"/>
      <c r="G87" s="280"/>
      <c r="H87" s="280"/>
      <c r="I87" s="280"/>
      <c r="J87" s="280"/>
      <c r="K87" s="280"/>
      <c r="L87" s="280"/>
      <c r="M87" s="264"/>
      <c r="N87" s="293">
        <f t="shared" si="14"/>
        <v>0</v>
      </c>
      <c r="O87" s="293">
        <f t="shared" si="15"/>
        <v>151876348</v>
      </c>
      <c r="P87" s="264"/>
    </row>
    <row r="88" spans="1:16" x14ac:dyDescent="0.3">
      <c r="A88" s="263"/>
      <c r="B88" s="264"/>
      <c r="C88" s="280">
        <v>323457675</v>
      </c>
      <c r="D88" s="280"/>
      <c r="E88" s="280"/>
      <c r="F88" s="280"/>
      <c r="G88" s="280"/>
      <c r="H88" s="280"/>
      <c r="I88" s="280"/>
      <c r="J88" s="280"/>
      <c r="K88" s="280"/>
      <c r="L88" s="280"/>
      <c r="M88" s="264"/>
      <c r="N88" s="293">
        <f t="shared" si="14"/>
        <v>0</v>
      </c>
      <c r="O88" s="293">
        <f t="shared" si="15"/>
        <v>323457675</v>
      </c>
      <c r="P88" s="264"/>
    </row>
    <row r="89" spans="1:16" ht="28.2" x14ac:dyDescent="0.3">
      <c r="A89" s="263" t="s">
        <v>322</v>
      </c>
      <c r="B89" s="264" t="s">
        <v>540</v>
      </c>
      <c r="C89" s="280">
        <v>358333566</v>
      </c>
      <c r="D89" s="280"/>
      <c r="E89" s="280"/>
      <c r="F89" s="280"/>
      <c r="G89" s="280"/>
      <c r="H89" s="280"/>
      <c r="I89" s="280"/>
      <c r="J89" s="280"/>
      <c r="K89" s="280"/>
      <c r="L89" s="280"/>
      <c r="M89" s="264"/>
      <c r="N89" s="293">
        <f t="shared" si="14"/>
        <v>0</v>
      </c>
      <c r="O89" s="293">
        <f t="shared" si="15"/>
        <v>358333566</v>
      </c>
      <c r="P89" s="264"/>
    </row>
    <row r="90" spans="1:16" x14ac:dyDescent="0.3">
      <c r="A90" s="263"/>
      <c r="B90" s="264"/>
      <c r="C90" s="280">
        <v>587854888.30299997</v>
      </c>
      <c r="D90" s="280"/>
      <c r="E90" s="280"/>
      <c r="F90" s="280"/>
      <c r="G90" s="280"/>
      <c r="H90" s="280"/>
      <c r="I90" s="280"/>
      <c r="J90" s="280"/>
      <c r="K90" s="280"/>
      <c r="L90" s="280"/>
      <c r="M90" s="264"/>
      <c r="N90" s="293">
        <f t="shared" si="14"/>
        <v>0</v>
      </c>
      <c r="O90" s="293">
        <f t="shared" si="15"/>
        <v>587854888.30299997</v>
      </c>
      <c r="P90" s="264"/>
    </row>
    <row r="91" spans="1:16" x14ac:dyDescent="0.3">
      <c r="A91" s="263" t="s">
        <v>541</v>
      </c>
      <c r="B91" s="264" t="s">
        <v>542</v>
      </c>
      <c r="C91" s="280">
        <v>250000000</v>
      </c>
      <c r="D91" s="280"/>
      <c r="E91" s="280"/>
      <c r="F91" s="280"/>
      <c r="G91" s="280"/>
      <c r="H91" s="280"/>
      <c r="I91" s="280"/>
      <c r="J91" s="280"/>
      <c r="K91" s="280"/>
      <c r="L91" s="280"/>
      <c r="M91" s="264"/>
      <c r="N91" s="293">
        <f t="shared" si="14"/>
        <v>0</v>
      </c>
      <c r="O91" s="293">
        <f t="shared" si="15"/>
        <v>250000000</v>
      </c>
      <c r="P91" s="264"/>
    </row>
    <row r="92" spans="1:16" x14ac:dyDescent="0.3">
      <c r="A92" s="263" t="s">
        <v>543</v>
      </c>
      <c r="B92" s="264" t="s">
        <v>544</v>
      </c>
      <c r="C92" s="281">
        <v>250000000</v>
      </c>
      <c r="D92" s="281"/>
      <c r="E92" s="281"/>
      <c r="F92" s="281"/>
      <c r="G92" s="281"/>
      <c r="H92" s="281"/>
      <c r="I92" s="281"/>
      <c r="J92" s="281"/>
      <c r="K92" s="281"/>
      <c r="L92" s="281"/>
      <c r="M92" s="264"/>
      <c r="N92" s="293">
        <f t="shared" si="14"/>
        <v>0</v>
      </c>
      <c r="O92" s="293">
        <f t="shared" si="15"/>
        <v>250000000</v>
      </c>
      <c r="P92" s="264"/>
    </row>
    <row r="93" spans="1:16" x14ac:dyDescent="0.3">
      <c r="A93" s="263" t="s">
        <v>545</v>
      </c>
      <c r="B93" s="264" t="s">
        <v>546</v>
      </c>
      <c r="C93" s="281">
        <v>250000000</v>
      </c>
      <c r="D93" s="281"/>
      <c r="E93" s="281"/>
      <c r="F93" s="281"/>
      <c r="G93" s="281"/>
      <c r="H93" s="281"/>
      <c r="I93" s="281"/>
      <c r="J93" s="281"/>
      <c r="K93" s="281"/>
      <c r="L93" s="281"/>
      <c r="M93" s="264"/>
      <c r="N93" s="293">
        <f t="shared" si="14"/>
        <v>0</v>
      </c>
      <c r="O93" s="293">
        <f t="shared" si="15"/>
        <v>250000000</v>
      </c>
      <c r="P93" s="264"/>
    </row>
    <row r="94" spans="1:16" x14ac:dyDescent="0.3">
      <c r="A94" s="263" t="s">
        <v>324</v>
      </c>
      <c r="B94" s="264" t="s">
        <v>369</v>
      </c>
      <c r="C94" s="281">
        <v>375000000</v>
      </c>
      <c r="D94" s="281"/>
      <c r="E94" s="281"/>
      <c r="F94" s="281"/>
      <c r="G94" s="281"/>
      <c r="H94" s="281"/>
      <c r="I94" s="281"/>
      <c r="J94" s="281"/>
      <c r="K94" s="281"/>
      <c r="L94" s="281"/>
      <c r="M94" s="264"/>
      <c r="N94" s="293">
        <f t="shared" si="14"/>
        <v>0</v>
      </c>
      <c r="O94" s="293">
        <f t="shared" si="15"/>
        <v>375000000</v>
      </c>
      <c r="P94" s="264"/>
    </row>
    <row r="95" spans="1:16" x14ac:dyDescent="0.3">
      <c r="A95" s="263" t="s">
        <v>326</v>
      </c>
      <c r="B95" s="264" t="s">
        <v>370</v>
      </c>
      <c r="C95" s="281">
        <v>140862175</v>
      </c>
      <c r="D95" s="281">
        <v>1214320</v>
      </c>
      <c r="E95" s="281"/>
      <c r="F95" s="281"/>
      <c r="G95" s="281"/>
      <c r="H95" s="281"/>
      <c r="I95" s="281"/>
      <c r="J95" s="281"/>
      <c r="K95" s="281"/>
      <c r="L95" s="281"/>
      <c r="M95" s="264"/>
      <c r="N95" s="293">
        <f t="shared" si="14"/>
        <v>1214320</v>
      </c>
      <c r="O95" s="293">
        <f t="shared" si="15"/>
        <v>139647855</v>
      </c>
      <c r="P95" s="264"/>
    </row>
    <row r="96" spans="1:16" x14ac:dyDescent="0.3">
      <c r="A96" s="263"/>
      <c r="B96" s="264"/>
      <c r="C96" s="281">
        <v>273345125</v>
      </c>
      <c r="D96" s="281"/>
      <c r="E96" s="281"/>
      <c r="F96" s="281"/>
      <c r="G96" s="281"/>
      <c r="H96" s="281"/>
      <c r="I96" s="281"/>
      <c r="J96" s="281"/>
      <c r="K96" s="281"/>
      <c r="L96" s="281"/>
      <c r="M96" s="264"/>
      <c r="N96" s="293">
        <f t="shared" si="14"/>
        <v>0</v>
      </c>
      <c r="O96" s="293">
        <f t="shared" si="15"/>
        <v>273345125</v>
      </c>
      <c r="P96" s="264"/>
    </row>
    <row r="97" spans="1:16" ht="28.2" x14ac:dyDescent="0.3">
      <c r="A97" s="263" t="s">
        <v>328</v>
      </c>
      <c r="B97" s="264" t="s">
        <v>371</v>
      </c>
      <c r="C97" s="281">
        <v>256354457</v>
      </c>
      <c r="D97" s="281"/>
      <c r="E97" s="281"/>
      <c r="F97" s="281"/>
      <c r="G97" s="281"/>
      <c r="H97" s="281"/>
      <c r="I97" s="281"/>
      <c r="J97" s="281"/>
      <c r="K97" s="281"/>
      <c r="L97" s="281"/>
      <c r="M97" s="264"/>
      <c r="N97" s="293">
        <f t="shared" si="14"/>
        <v>0</v>
      </c>
      <c r="O97" s="293">
        <f t="shared" si="15"/>
        <v>256354457</v>
      </c>
      <c r="P97" s="264"/>
    </row>
    <row r="98" spans="1:16" ht="28.2" x14ac:dyDescent="0.3">
      <c r="A98" s="263" t="s">
        <v>547</v>
      </c>
      <c r="B98" s="264" t="s">
        <v>373</v>
      </c>
      <c r="C98" s="281">
        <v>223457654</v>
      </c>
      <c r="D98" s="281">
        <v>49200000</v>
      </c>
      <c r="E98" s="281">
        <v>46800000</v>
      </c>
      <c r="F98" s="281"/>
      <c r="G98" s="281"/>
      <c r="H98" s="281"/>
      <c r="I98" s="281"/>
      <c r="J98" s="281"/>
      <c r="K98" s="281"/>
      <c r="L98" s="281"/>
      <c r="M98" s="264"/>
      <c r="N98" s="293">
        <f t="shared" si="14"/>
        <v>96000000</v>
      </c>
      <c r="O98" s="293">
        <f t="shared" si="15"/>
        <v>127457654</v>
      </c>
      <c r="P98" s="264"/>
    </row>
    <row r="99" spans="1:16" ht="55.8" x14ac:dyDescent="0.3">
      <c r="A99" s="263" t="s">
        <v>330</v>
      </c>
      <c r="B99" s="264" t="s">
        <v>374</v>
      </c>
      <c r="C99" s="281">
        <v>75635488</v>
      </c>
      <c r="D99" s="281"/>
      <c r="E99" s="281"/>
      <c r="F99" s="281"/>
      <c r="G99" s="281"/>
      <c r="H99" s="281"/>
      <c r="I99" s="281"/>
      <c r="J99" s="281"/>
      <c r="K99" s="281"/>
      <c r="L99" s="281"/>
      <c r="M99" s="264"/>
      <c r="N99" s="293">
        <f t="shared" si="14"/>
        <v>0</v>
      </c>
      <c r="O99" s="293">
        <f t="shared" si="15"/>
        <v>75635488</v>
      </c>
      <c r="P99" s="264"/>
    </row>
    <row r="100" spans="1:16" ht="42" x14ac:dyDescent="0.3">
      <c r="A100" s="263" t="s">
        <v>548</v>
      </c>
      <c r="B100" s="264" t="s">
        <v>375</v>
      </c>
      <c r="C100" s="281">
        <v>31520000</v>
      </c>
      <c r="D100" s="281"/>
      <c r="E100" s="281"/>
      <c r="F100" s="281"/>
      <c r="G100" s="281"/>
      <c r="H100" s="281"/>
      <c r="I100" s="281"/>
      <c r="J100" s="281"/>
      <c r="K100" s="281"/>
      <c r="L100" s="281"/>
      <c r="M100" s="264"/>
      <c r="N100" s="293">
        <f t="shared" si="14"/>
        <v>0</v>
      </c>
      <c r="O100" s="293">
        <f t="shared" si="15"/>
        <v>31520000</v>
      </c>
      <c r="P100" s="264"/>
    </row>
    <row r="101" spans="1:16" x14ac:dyDescent="0.3">
      <c r="A101" s="263" t="s">
        <v>332</v>
      </c>
      <c r="B101" s="264" t="s">
        <v>549</v>
      </c>
      <c r="C101" s="281">
        <v>7200000</v>
      </c>
      <c r="D101" s="281"/>
      <c r="E101" s="281"/>
      <c r="F101" s="281"/>
      <c r="G101" s="281"/>
      <c r="H101" s="281"/>
      <c r="I101" s="281"/>
      <c r="J101" s="281"/>
      <c r="K101" s="281"/>
      <c r="L101" s="281"/>
      <c r="M101" s="264"/>
      <c r="N101" s="293">
        <f t="shared" si="14"/>
        <v>0</v>
      </c>
      <c r="O101" s="293">
        <f t="shared" si="15"/>
        <v>7200000</v>
      </c>
      <c r="P101" s="264"/>
    </row>
    <row r="102" spans="1:16" x14ac:dyDescent="0.3">
      <c r="A102" s="263" t="s">
        <v>334</v>
      </c>
      <c r="B102" s="264" t="s">
        <v>550</v>
      </c>
      <c r="C102" s="281">
        <v>8820000</v>
      </c>
      <c r="D102" s="281"/>
      <c r="E102" s="281"/>
      <c r="F102" s="281"/>
      <c r="G102" s="281"/>
      <c r="H102" s="281"/>
      <c r="I102" s="281"/>
      <c r="J102" s="281"/>
      <c r="K102" s="281"/>
      <c r="L102" s="281"/>
      <c r="M102" s="264"/>
      <c r="N102" s="293">
        <f t="shared" si="14"/>
        <v>0</v>
      </c>
      <c r="O102" s="293">
        <f t="shared" si="15"/>
        <v>8820000</v>
      </c>
      <c r="P102" s="264"/>
    </row>
    <row r="103" spans="1:16" ht="28.2" x14ac:dyDescent="0.3">
      <c r="A103" s="263" t="s">
        <v>336</v>
      </c>
      <c r="B103" s="264" t="s">
        <v>551</v>
      </c>
      <c r="C103" s="281">
        <v>2016000</v>
      </c>
      <c r="D103" s="281"/>
      <c r="E103" s="281"/>
      <c r="F103" s="281"/>
      <c r="G103" s="281"/>
      <c r="H103" s="281"/>
      <c r="I103" s="281"/>
      <c r="J103" s="281"/>
      <c r="K103" s="281"/>
      <c r="L103" s="281"/>
      <c r="M103" s="264"/>
      <c r="N103" s="293">
        <f t="shared" si="14"/>
        <v>0</v>
      </c>
      <c r="O103" s="293">
        <f t="shared" si="15"/>
        <v>2016000</v>
      </c>
      <c r="P103" s="264"/>
    </row>
    <row r="104" spans="1:16" ht="42" x14ac:dyDescent="0.3">
      <c r="A104" s="263" t="s">
        <v>338</v>
      </c>
      <c r="B104" s="264" t="s">
        <v>376</v>
      </c>
      <c r="C104" s="281">
        <v>15000000</v>
      </c>
      <c r="D104" s="281"/>
      <c r="E104" s="281"/>
      <c r="F104" s="281"/>
      <c r="G104" s="281"/>
      <c r="H104" s="281"/>
      <c r="I104" s="281"/>
      <c r="J104" s="281"/>
      <c r="K104" s="281"/>
      <c r="L104" s="281"/>
      <c r="M104" s="264"/>
      <c r="N104" s="293">
        <f t="shared" si="14"/>
        <v>0</v>
      </c>
      <c r="O104" s="293">
        <f t="shared" si="15"/>
        <v>15000000</v>
      </c>
      <c r="P104" s="264"/>
    </row>
    <row r="105" spans="1:16" ht="69.599999999999994" x14ac:dyDescent="0.3">
      <c r="A105" s="263" t="s">
        <v>552</v>
      </c>
      <c r="B105" s="264" t="s">
        <v>377</v>
      </c>
      <c r="C105" s="281">
        <v>28000000</v>
      </c>
      <c r="D105" s="281"/>
      <c r="E105" s="281"/>
      <c r="F105" s="281"/>
      <c r="G105" s="281"/>
      <c r="H105" s="281"/>
      <c r="I105" s="281"/>
      <c r="J105" s="281"/>
      <c r="K105" s="281"/>
      <c r="L105" s="281"/>
      <c r="M105" s="264"/>
      <c r="N105" s="293">
        <f t="shared" si="14"/>
        <v>0</v>
      </c>
      <c r="O105" s="293">
        <f t="shared" si="15"/>
        <v>28000000</v>
      </c>
      <c r="P105" s="264"/>
    </row>
    <row r="106" spans="1:16" ht="55.8" x14ac:dyDescent="0.3">
      <c r="A106" s="263" t="s">
        <v>553</v>
      </c>
      <c r="B106" s="264" t="s">
        <v>378</v>
      </c>
      <c r="C106" s="281">
        <v>27500000</v>
      </c>
      <c r="D106" s="281"/>
      <c r="E106" s="281"/>
      <c r="F106" s="281"/>
      <c r="G106" s="281"/>
      <c r="H106" s="281"/>
      <c r="I106" s="281"/>
      <c r="J106" s="281"/>
      <c r="K106" s="281"/>
      <c r="L106" s="281"/>
      <c r="M106" s="264"/>
      <c r="N106" s="293">
        <f t="shared" si="14"/>
        <v>0</v>
      </c>
      <c r="O106" s="293">
        <f t="shared" si="15"/>
        <v>27500000</v>
      </c>
      <c r="P106" s="264"/>
    </row>
    <row r="107" spans="1:16" ht="28.2" x14ac:dyDescent="0.3">
      <c r="A107" s="263" t="s">
        <v>554</v>
      </c>
      <c r="B107" s="264" t="s">
        <v>384</v>
      </c>
      <c r="C107" s="281">
        <v>40000000</v>
      </c>
      <c r="D107" s="281"/>
      <c r="E107" s="281"/>
      <c r="F107" s="281"/>
      <c r="G107" s="281"/>
      <c r="H107" s="281"/>
      <c r="I107" s="281"/>
      <c r="J107" s="281"/>
      <c r="K107" s="281"/>
      <c r="L107" s="281"/>
      <c r="M107" s="264"/>
      <c r="N107" s="293">
        <f t="shared" si="14"/>
        <v>0</v>
      </c>
      <c r="O107" s="293">
        <f t="shared" si="15"/>
        <v>40000000</v>
      </c>
      <c r="P107" s="264"/>
    </row>
    <row r="108" spans="1:16" x14ac:dyDescent="0.3">
      <c r="A108" s="263" t="s">
        <v>555</v>
      </c>
      <c r="B108" s="264" t="s">
        <v>385</v>
      </c>
      <c r="C108" s="281">
        <v>36000000</v>
      </c>
      <c r="D108" s="281"/>
      <c r="E108" s="281"/>
      <c r="F108" s="281"/>
      <c r="G108" s="281"/>
      <c r="H108" s="281"/>
      <c r="I108" s="281"/>
      <c r="J108" s="281"/>
      <c r="K108" s="281"/>
      <c r="L108" s="281"/>
      <c r="M108" s="264"/>
      <c r="N108" s="293">
        <f t="shared" si="14"/>
        <v>0</v>
      </c>
      <c r="O108" s="293">
        <f t="shared" si="15"/>
        <v>36000000</v>
      </c>
      <c r="P108" s="264"/>
    </row>
    <row r="109" spans="1:16" x14ac:dyDescent="0.3">
      <c r="A109" s="263" t="s">
        <v>556</v>
      </c>
      <c r="B109" s="264" t="s">
        <v>386</v>
      </c>
      <c r="C109" s="281">
        <v>5400000</v>
      </c>
      <c r="D109" s="281"/>
      <c r="E109" s="281"/>
      <c r="F109" s="281"/>
      <c r="G109" s="281"/>
      <c r="H109" s="281"/>
      <c r="I109" s="281"/>
      <c r="J109" s="281"/>
      <c r="K109" s="281"/>
      <c r="L109" s="281"/>
      <c r="M109" s="264"/>
      <c r="N109" s="293">
        <f t="shared" si="14"/>
        <v>0</v>
      </c>
      <c r="O109" s="293">
        <f t="shared" si="15"/>
        <v>5400000</v>
      </c>
      <c r="P109" s="264"/>
    </row>
    <row r="110" spans="1:16" x14ac:dyDescent="0.3">
      <c r="A110" s="263" t="s">
        <v>557</v>
      </c>
      <c r="B110" s="264" t="s">
        <v>387</v>
      </c>
      <c r="C110" s="281">
        <v>5400000</v>
      </c>
      <c r="D110" s="281"/>
      <c r="E110" s="281"/>
      <c r="F110" s="281"/>
      <c r="G110" s="281"/>
      <c r="H110" s="281"/>
      <c r="I110" s="281"/>
      <c r="J110" s="281"/>
      <c r="K110" s="281"/>
      <c r="L110" s="281"/>
      <c r="M110" s="264"/>
      <c r="N110" s="293">
        <f t="shared" si="14"/>
        <v>0</v>
      </c>
      <c r="O110" s="293">
        <f t="shared" si="15"/>
        <v>5400000</v>
      </c>
      <c r="P110" s="264"/>
    </row>
    <row r="111" spans="1:16" x14ac:dyDescent="0.3">
      <c r="A111" s="263" t="s">
        <v>340</v>
      </c>
      <c r="B111" s="264" t="s">
        <v>388</v>
      </c>
      <c r="C111" s="281">
        <v>5400000</v>
      </c>
      <c r="D111" s="281"/>
      <c r="E111" s="281"/>
      <c r="F111" s="281"/>
      <c r="G111" s="281"/>
      <c r="H111" s="281"/>
      <c r="I111" s="281"/>
      <c r="J111" s="281"/>
      <c r="K111" s="281"/>
      <c r="L111" s="281"/>
      <c r="M111" s="264"/>
      <c r="N111" s="293">
        <f t="shared" si="14"/>
        <v>0</v>
      </c>
      <c r="O111" s="293">
        <f t="shared" si="15"/>
        <v>5400000</v>
      </c>
      <c r="P111" s="264"/>
    </row>
    <row r="112" spans="1:16" x14ac:dyDescent="0.3">
      <c r="A112" s="263" t="s">
        <v>558</v>
      </c>
      <c r="B112" s="264" t="s">
        <v>389</v>
      </c>
      <c r="C112" s="281">
        <v>120000000</v>
      </c>
      <c r="D112" s="281">
        <v>5550000</v>
      </c>
      <c r="E112" s="281">
        <v>18500000</v>
      </c>
      <c r="F112" s="281"/>
      <c r="G112" s="281"/>
      <c r="H112" s="281"/>
      <c r="I112" s="281"/>
      <c r="J112" s="281"/>
      <c r="K112" s="281"/>
      <c r="L112" s="281"/>
      <c r="M112" s="264"/>
      <c r="N112" s="293">
        <f t="shared" si="14"/>
        <v>24050000</v>
      </c>
      <c r="O112" s="293">
        <f t="shared" si="15"/>
        <v>95950000</v>
      </c>
      <c r="P112" s="264"/>
    </row>
    <row r="113" spans="1:16" x14ac:dyDescent="0.3">
      <c r="A113" s="263" t="s">
        <v>342</v>
      </c>
      <c r="B113" s="264" t="s">
        <v>390</v>
      </c>
      <c r="C113" s="281">
        <v>58910000</v>
      </c>
      <c r="D113" s="281"/>
      <c r="E113" s="281"/>
      <c r="F113" s="281"/>
      <c r="G113" s="281"/>
      <c r="H113" s="281"/>
      <c r="I113" s="281"/>
      <c r="J113" s="281"/>
      <c r="K113" s="281"/>
      <c r="L113" s="281"/>
      <c r="M113" s="264"/>
      <c r="N113" s="293">
        <f t="shared" si="14"/>
        <v>0</v>
      </c>
      <c r="O113" s="293">
        <f t="shared" si="15"/>
        <v>58910000</v>
      </c>
      <c r="P113" s="264"/>
    </row>
    <row r="114" spans="1:16" ht="42" x14ac:dyDescent="0.3">
      <c r="A114" s="263" t="s">
        <v>344</v>
      </c>
      <c r="B114" s="264" t="s">
        <v>391</v>
      </c>
      <c r="C114" s="281">
        <v>8000000</v>
      </c>
      <c r="D114" s="281"/>
      <c r="E114" s="281"/>
      <c r="F114" s="281"/>
      <c r="G114" s="281"/>
      <c r="H114" s="281"/>
      <c r="I114" s="281"/>
      <c r="J114" s="281"/>
      <c r="K114" s="281"/>
      <c r="L114" s="281"/>
      <c r="M114" s="264"/>
      <c r="N114" s="293">
        <f t="shared" si="14"/>
        <v>0</v>
      </c>
      <c r="O114" s="293">
        <f t="shared" si="15"/>
        <v>8000000</v>
      </c>
      <c r="P114" s="264"/>
    </row>
    <row r="115" spans="1:16" x14ac:dyDescent="0.3">
      <c r="A115" s="263" t="s">
        <v>346</v>
      </c>
      <c r="B115" s="264" t="s">
        <v>392</v>
      </c>
      <c r="C115" s="281">
        <v>3000000</v>
      </c>
      <c r="D115" s="281"/>
      <c r="E115" s="281"/>
      <c r="F115" s="281"/>
      <c r="G115" s="281"/>
      <c r="H115" s="281"/>
      <c r="I115" s="281"/>
      <c r="J115" s="281"/>
      <c r="K115" s="281"/>
      <c r="L115" s="281"/>
      <c r="M115" s="264"/>
      <c r="N115" s="293">
        <f t="shared" si="14"/>
        <v>0</v>
      </c>
      <c r="O115" s="293">
        <f t="shared" si="15"/>
        <v>3000000</v>
      </c>
      <c r="P115" s="264"/>
    </row>
    <row r="116" spans="1:16" x14ac:dyDescent="0.3">
      <c r="A116" s="263" t="s">
        <v>348</v>
      </c>
      <c r="B116" s="264" t="s">
        <v>393</v>
      </c>
      <c r="C116" s="281">
        <v>3000000</v>
      </c>
      <c r="D116" s="281"/>
      <c r="E116" s="281"/>
      <c r="F116" s="281"/>
      <c r="G116" s="281"/>
      <c r="H116" s="281"/>
      <c r="I116" s="281"/>
      <c r="J116" s="281"/>
      <c r="K116" s="281"/>
      <c r="L116" s="281"/>
      <c r="M116" s="264"/>
      <c r="N116" s="293">
        <f t="shared" si="14"/>
        <v>0</v>
      </c>
      <c r="O116" s="293">
        <f t="shared" si="15"/>
        <v>3000000</v>
      </c>
      <c r="P116" s="264"/>
    </row>
    <row r="117" spans="1:16" ht="28.2" x14ac:dyDescent="0.3">
      <c r="A117" s="263" t="s">
        <v>350</v>
      </c>
      <c r="B117" s="264" t="s">
        <v>559</v>
      </c>
      <c r="C117" s="281">
        <v>24000000</v>
      </c>
      <c r="D117" s="281"/>
      <c r="E117" s="281"/>
      <c r="F117" s="281"/>
      <c r="G117" s="281"/>
      <c r="H117" s="281"/>
      <c r="I117" s="281"/>
      <c r="J117" s="281"/>
      <c r="K117" s="281"/>
      <c r="L117" s="281"/>
      <c r="M117" s="264"/>
      <c r="N117" s="293">
        <f t="shared" si="14"/>
        <v>0</v>
      </c>
      <c r="O117" s="293">
        <f t="shared" si="15"/>
        <v>24000000</v>
      </c>
      <c r="P117" s="264"/>
    </row>
    <row r="118" spans="1:16" ht="28.2" x14ac:dyDescent="0.3">
      <c r="A118" s="259">
        <v>7</v>
      </c>
      <c r="B118" s="260" t="s">
        <v>560</v>
      </c>
      <c r="C118" s="282">
        <f>SUM(C119:C124)</f>
        <v>124200000</v>
      </c>
      <c r="D118" s="282"/>
      <c r="E118" s="282"/>
      <c r="F118" s="282"/>
      <c r="G118" s="282"/>
      <c r="H118" s="282"/>
      <c r="I118" s="282"/>
      <c r="J118" s="282"/>
      <c r="K118" s="282"/>
      <c r="L118" s="282"/>
      <c r="M118" s="277"/>
      <c r="N118" s="297">
        <f>SUM(N119:N124)</f>
        <v>0</v>
      </c>
      <c r="O118" s="297">
        <f t="shared" ref="O118:O126" si="16">SUM(C118-N118)</f>
        <v>124200000</v>
      </c>
      <c r="P118" s="277"/>
    </row>
    <row r="119" spans="1:16" ht="42" x14ac:dyDescent="0.3">
      <c r="A119" s="263" t="s">
        <v>361</v>
      </c>
      <c r="B119" s="264" t="s">
        <v>379</v>
      </c>
      <c r="C119" s="281">
        <v>12000000</v>
      </c>
      <c r="D119" s="281"/>
      <c r="E119" s="281"/>
      <c r="F119" s="281"/>
      <c r="G119" s="281"/>
      <c r="H119" s="281"/>
      <c r="I119" s="281"/>
      <c r="J119" s="281"/>
      <c r="K119" s="281"/>
      <c r="L119" s="281"/>
      <c r="M119" s="264"/>
      <c r="N119" s="293">
        <f t="shared" ref="N119:N124" si="17">SUM(D119:M119)</f>
        <v>0</v>
      </c>
      <c r="O119" s="293">
        <f t="shared" si="16"/>
        <v>12000000</v>
      </c>
      <c r="P119" s="264"/>
    </row>
    <row r="120" spans="1:16" ht="69.599999999999994" x14ac:dyDescent="0.3">
      <c r="A120" s="263" t="s">
        <v>363</v>
      </c>
      <c r="B120" s="264" t="s">
        <v>380</v>
      </c>
      <c r="C120" s="281">
        <v>10200000</v>
      </c>
      <c r="D120" s="281"/>
      <c r="E120" s="281"/>
      <c r="F120" s="281"/>
      <c r="G120" s="281"/>
      <c r="H120" s="281"/>
      <c r="I120" s="281"/>
      <c r="J120" s="281"/>
      <c r="K120" s="281"/>
      <c r="L120" s="281"/>
      <c r="M120" s="264"/>
      <c r="N120" s="293">
        <f t="shared" si="17"/>
        <v>0</v>
      </c>
      <c r="O120" s="293">
        <f t="shared" si="16"/>
        <v>10200000</v>
      </c>
      <c r="P120" s="264"/>
    </row>
    <row r="121" spans="1:16" ht="42" x14ac:dyDescent="0.3">
      <c r="A121" s="263" t="s">
        <v>365</v>
      </c>
      <c r="B121" s="264" t="s">
        <v>381</v>
      </c>
      <c r="C121" s="281">
        <v>6000000</v>
      </c>
      <c r="D121" s="281"/>
      <c r="E121" s="281"/>
      <c r="F121" s="281"/>
      <c r="G121" s="281"/>
      <c r="H121" s="281"/>
      <c r="I121" s="281"/>
      <c r="J121" s="281"/>
      <c r="K121" s="281"/>
      <c r="L121" s="281"/>
      <c r="M121" s="264"/>
      <c r="N121" s="293">
        <f t="shared" si="17"/>
        <v>0</v>
      </c>
      <c r="O121" s="293">
        <f t="shared" si="16"/>
        <v>6000000</v>
      </c>
      <c r="P121" s="264"/>
    </row>
    <row r="122" spans="1:16" ht="42" x14ac:dyDescent="0.3">
      <c r="A122" s="263" t="s">
        <v>366</v>
      </c>
      <c r="B122" s="264" t="s">
        <v>382</v>
      </c>
      <c r="C122" s="281">
        <v>6000000</v>
      </c>
      <c r="D122" s="281"/>
      <c r="E122" s="281"/>
      <c r="F122" s="281"/>
      <c r="G122" s="281"/>
      <c r="H122" s="281"/>
      <c r="I122" s="281"/>
      <c r="J122" s="281"/>
      <c r="K122" s="281"/>
      <c r="L122" s="281"/>
      <c r="M122" s="264"/>
      <c r="N122" s="293">
        <f t="shared" si="17"/>
        <v>0</v>
      </c>
      <c r="O122" s="293">
        <f t="shared" si="16"/>
        <v>6000000</v>
      </c>
      <c r="P122" s="264"/>
    </row>
    <row r="123" spans="1:16" ht="42" x14ac:dyDescent="0.3">
      <c r="A123" s="263" t="s">
        <v>367</v>
      </c>
      <c r="B123" s="264" t="s">
        <v>383</v>
      </c>
      <c r="C123" s="281">
        <v>50000000</v>
      </c>
      <c r="D123" s="281"/>
      <c r="E123" s="281"/>
      <c r="F123" s="281"/>
      <c r="G123" s="281"/>
      <c r="H123" s="281"/>
      <c r="I123" s="281"/>
      <c r="J123" s="281"/>
      <c r="K123" s="281"/>
      <c r="L123" s="281"/>
      <c r="M123" s="264"/>
      <c r="N123" s="293">
        <f t="shared" si="17"/>
        <v>0</v>
      </c>
      <c r="O123" s="293">
        <f t="shared" si="16"/>
        <v>50000000</v>
      </c>
      <c r="P123" s="264"/>
    </row>
    <row r="124" spans="1:16" ht="28.2" x14ac:dyDescent="0.3">
      <c r="A124" s="263" t="s">
        <v>368</v>
      </c>
      <c r="B124" s="264" t="s">
        <v>384</v>
      </c>
      <c r="C124" s="281">
        <v>40000000</v>
      </c>
      <c r="D124" s="281"/>
      <c r="E124" s="281"/>
      <c r="F124" s="281"/>
      <c r="G124" s="281"/>
      <c r="H124" s="281"/>
      <c r="I124" s="281"/>
      <c r="J124" s="281"/>
      <c r="K124" s="281"/>
      <c r="L124" s="281"/>
      <c r="M124" s="264"/>
      <c r="N124" s="293">
        <f t="shared" si="17"/>
        <v>0</v>
      </c>
      <c r="O124" s="293">
        <f t="shared" si="16"/>
        <v>40000000</v>
      </c>
      <c r="P124" s="264"/>
    </row>
    <row r="125" spans="1:16" x14ac:dyDescent="0.3">
      <c r="A125" s="259">
        <v>8</v>
      </c>
      <c r="B125" s="260" t="s">
        <v>561</v>
      </c>
      <c r="C125" s="282">
        <f>SUM(C126:C136)</f>
        <v>258420000</v>
      </c>
      <c r="D125" s="282"/>
      <c r="E125" s="282"/>
      <c r="F125" s="282"/>
      <c r="G125" s="282"/>
      <c r="H125" s="282"/>
      <c r="I125" s="282"/>
      <c r="J125" s="282"/>
      <c r="K125" s="282"/>
      <c r="L125" s="282"/>
      <c r="M125" s="277"/>
      <c r="N125" s="297">
        <f>SUM(N126:N136)</f>
        <v>6138000</v>
      </c>
      <c r="O125" s="297">
        <f t="shared" si="16"/>
        <v>252282000</v>
      </c>
      <c r="P125" s="277"/>
    </row>
    <row r="126" spans="1:16" ht="55.8" x14ac:dyDescent="0.3">
      <c r="A126" s="263" t="s">
        <v>562</v>
      </c>
      <c r="B126" s="264" t="s">
        <v>319</v>
      </c>
      <c r="C126" s="281">
        <v>27250000</v>
      </c>
      <c r="D126" s="281"/>
      <c r="E126" s="281"/>
      <c r="F126" s="281"/>
      <c r="G126" s="281"/>
      <c r="H126" s="281"/>
      <c r="I126" s="281"/>
      <c r="J126" s="281"/>
      <c r="K126" s="281"/>
      <c r="L126" s="281"/>
      <c r="M126" s="264"/>
      <c r="N126" s="293">
        <f>SUM(D126:M126)</f>
        <v>0</v>
      </c>
      <c r="O126" s="293">
        <f t="shared" si="16"/>
        <v>27250000</v>
      </c>
      <c r="P126" s="264"/>
    </row>
    <row r="127" spans="1:16" ht="55.8" x14ac:dyDescent="0.3">
      <c r="A127" s="263" t="s">
        <v>563</v>
      </c>
      <c r="B127" s="264" t="s">
        <v>321</v>
      </c>
      <c r="C127" s="281">
        <v>52500000</v>
      </c>
      <c r="D127" s="281"/>
      <c r="E127" s="281"/>
      <c r="F127" s="281"/>
      <c r="G127" s="281"/>
      <c r="H127" s="281"/>
      <c r="I127" s="281"/>
      <c r="J127" s="281"/>
      <c r="K127" s="281"/>
      <c r="L127" s="281"/>
      <c r="M127" s="264"/>
      <c r="N127" s="293">
        <f t="shared" ref="N127:N136" si="18">SUM(D127:M127)</f>
        <v>0</v>
      </c>
      <c r="O127" s="293">
        <f t="shared" ref="O127:O136" si="19">SUM(C127-N127)</f>
        <v>52500000</v>
      </c>
      <c r="P127" s="264"/>
    </row>
    <row r="128" spans="1:16" ht="28.2" x14ac:dyDescent="0.3">
      <c r="A128" s="263" t="s">
        <v>564</v>
      </c>
      <c r="B128" s="264" t="s">
        <v>565</v>
      </c>
      <c r="C128" s="281">
        <v>9600000</v>
      </c>
      <c r="D128" s="281">
        <v>33000</v>
      </c>
      <c r="E128" s="281">
        <v>850000</v>
      </c>
      <c r="F128" s="281"/>
      <c r="G128" s="281"/>
      <c r="H128" s="281"/>
      <c r="I128" s="281"/>
      <c r="J128" s="281"/>
      <c r="K128" s="281"/>
      <c r="L128" s="281"/>
      <c r="M128" s="264"/>
      <c r="N128" s="293">
        <f t="shared" si="18"/>
        <v>883000</v>
      </c>
      <c r="O128" s="293">
        <f t="shared" si="19"/>
        <v>8717000</v>
      </c>
      <c r="P128" s="264"/>
    </row>
    <row r="129" spans="1:16" ht="28.2" x14ac:dyDescent="0.3">
      <c r="A129" s="263" t="s">
        <v>566</v>
      </c>
      <c r="B129" s="264" t="s">
        <v>567</v>
      </c>
      <c r="C129" s="281">
        <v>9600000</v>
      </c>
      <c r="D129" s="281">
        <v>4790000</v>
      </c>
      <c r="E129" s="281"/>
      <c r="F129" s="281"/>
      <c r="G129" s="281"/>
      <c r="H129" s="281"/>
      <c r="I129" s="281"/>
      <c r="J129" s="281"/>
      <c r="K129" s="281"/>
      <c r="L129" s="281"/>
      <c r="M129" s="264"/>
      <c r="N129" s="293">
        <f t="shared" si="18"/>
        <v>4790000</v>
      </c>
      <c r="O129" s="293">
        <f t="shared" si="19"/>
        <v>4810000</v>
      </c>
      <c r="P129" s="264"/>
    </row>
    <row r="130" spans="1:16" ht="42" x14ac:dyDescent="0.3">
      <c r="A130" s="263" t="s">
        <v>568</v>
      </c>
      <c r="B130" s="264" t="s">
        <v>323</v>
      </c>
      <c r="C130" s="281">
        <v>4260000</v>
      </c>
      <c r="D130" s="281">
        <v>465000</v>
      </c>
      <c r="E130" s="281"/>
      <c r="F130" s="281"/>
      <c r="G130" s="281"/>
      <c r="H130" s="281"/>
      <c r="I130" s="281"/>
      <c r="J130" s="281"/>
      <c r="K130" s="281"/>
      <c r="L130" s="281"/>
      <c r="M130" s="264"/>
      <c r="N130" s="293">
        <f t="shared" si="18"/>
        <v>465000</v>
      </c>
      <c r="O130" s="293">
        <f t="shared" si="19"/>
        <v>3795000</v>
      </c>
      <c r="P130" s="264"/>
    </row>
    <row r="131" spans="1:16" ht="28.2" x14ac:dyDescent="0.3">
      <c r="A131" s="263" t="s">
        <v>569</v>
      </c>
      <c r="B131" s="264" t="s">
        <v>570</v>
      </c>
      <c r="C131" s="281">
        <v>5000000</v>
      </c>
      <c r="D131" s="281"/>
      <c r="E131" s="281"/>
      <c r="F131" s="281"/>
      <c r="G131" s="281"/>
      <c r="H131" s="281"/>
      <c r="I131" s="281"/>
      <c r="J131" s="281"/>
      <c r="K131" s="281"/>
      <c r="L131" s="281"/>
      <c r="M131" s="264"/>
      <c r="N131" s="293">
        <f t="shared" si="18"/>
        <v>0</v>
      </c>
      <c r="O131" s="293">
        <f t="shared" si="19"/>
        <v>5000000</v>
      </c>
      <c r="P131" s="264"/>
    </row>
    <row r="132" spans="1:16" ht="28.2" x14ac:dyDescent="0.3">
      <c r="A132" s="263" t="s">
        <v>571</v>
      </c>
      <c r="B132" s="264" t="s">
        <v>572</v>
      </c>
      <c r="C132" s="281">
        <v>4000000</v>
      </c>
      <c r="D132" s="281"/>
      <c r="E132" s="281"/>
      <c r="F132" s="281"/>
      <c r="G132" s="281"/>
      <c r="H132" s="281"/>
      <c r="I132" s="281"/>
      <c r="J132" s="281"/>
      <c r="K132" s="281"/>
      <c r="L132" s="281"/>
      <c r="M132" s="264"/>
      <c r="N132" s="293">
        <f t="shared" si="18"/>
        <v>0</v>
      </c>
      <c r="O132" s="293">
        <f t="shared" si="19"/>
        <v>4000000</v>
      </c>
      <c r="P132" s="264"/>
    </row>
    <row r="133" spans="1:16" ht="28.2" x14ac:dyDescent="0.3">
      <c r="A133" s="263" t="s">
        <v>573</v>
      </c>
      <c r="B133" s="264" t="s">
        <v>574</v>
      </c>
      <c r="C133" s="281">
        <v>5000000</v>
      </c>
      <c r="D133" s="281"/>
      <c r="E133" s="281"/>
      <c r="F133" s="281"/>
      <c r="G133" s="281"/>
      <c r="H133" s="281"/>
      <c r="I133" s="281"/>
      <c r="J133" s="281"/>
      <c r="K133" s="281"/>
      <c r="L133" s="281"/>
      <c r="M133" s="264"/>
      <c r="N133" s="293">
        <f t="shared" si="18"/>
        <v>0</v>
      </c>
      <c r="O133" s="293">
        <f t="shared" si="19"/>
        <v>5000000</v>
      </c>
      <c r="P133" s="264"/>
    </row>
    <row r="134" spans="1:16" ht="55.8" x14ac:dyDescent="0.3">
      <c r="A134" s="263" t="s">
        <v>575</v>
      </c>
      <c r="B134" s="264" t="s">
        <v>325</v>
      </c>
      <c r="C134" s="281">
        <v>7000000</v>
      </c>
      <c r="D134" s="281"/>
      <c r="E134" s="281"/>
      <c r="F134" s="281"/>
      <c r="G134" s="281"/>
      <c r="H134" s="281"/>
      <c r="I134" s="281"/>
      <c r="J134" s="281"/>
      <c r="K134" s="281"/>
      <c r="L134" s="281"/>
      <c r="M134" s="264"/>
      <c r="N134" s="293">
        <f t="shared" si="18"/>
        <v>0</v>
      </c>
      <c r="O134" s="293">
        <f t="shared" si="19"/>
        <v>7000000</v>
      </c>
      <c r="P134" s="264"/>
    </row>
    <row r="135" spans="1:16" ht="28.2" x14ac:dyDescent="0.3">
      <c r="A135" s="263" t="s">
        <v>576</v>
      </c>
      <c r="B135" s="264" t="s">
        <v>327</v>
      </c>
      <c r="C135" s="281">
        <v>5000000</v>
      </c>
      <c r="D135" s="281"/>
      <c r="E135" s="281"/>
      <c r="F135" s="281"/>
      <c r="G135" s="281"/>
      <c r="H135" s="281"/>
      <c r="I135" s="281"/>
      <c r="J135" s="281"/>
      <c r="K135" s="281"/>
      <c r="L135" s="281"/>
      <c r="M135" s="264"/>
      <c r="N135" s="293">
        <f t="shared" si="18"/>
        <v>0</v>
      </c>
      <c r="O135" s="293">
        <f t="shared" si="19"/>
        <v>5000000</v>
      </c>
      <c r="P135" s="264"/>
    </row>
    <row r="136" spans="1:16" x14ac:dyDescent="0.3">
      <c r="A136" s="263"/>
      <c r="B136" s="264" t="s">
        <v>577</v>
      </c>
      <c r="C136" s="281">
        <v>129210000</v>
      </c>
      <c r="D136" s="281"/>
      <c r="E136" s="281"/>
      <c r="F136" s="281"/>
      <c r="G136" s="281"/>
      <c r="H136" s="281"/>
      <c r="I136" s="281"/>
      <c r="J136" s="281"/>
      <c r="K136" s="281"/>
      <c r="L136" s="281"/>
      <c r="M136" s="264"/>
      <c r="N136" s="293">
        <f t="shared" si="18"/>
        <v>0</v>
      </c>
      <c r="O136" s="293">
        <f t="shared" si="19"/>
        <v>129210000</v>
      </c>
      <c r="P136" s="264"/>
    </row>
    <row r="137" spans="1:16" ht="28.2" x14ac:dyDescent="0.3">
      <c r="A137" s="259">
        <v>9</v>
      </c>
      <c r="B137" s="290" t="s">
        <v>578</v>
      </c>
      <c r="C137" s="282">
        <f>SUM(C138:C141)</f>
        <v>22900000</v>
      </c>
      <c r="D137" s="282"/>
      <c r="E137" s="282"/>
      <c r="F137" s="282"/>
      <c r="G137" s="282"/>
      <c r="H137" s="282"/>
      <c r="I137" s="282"/>
      <c r="J137" s="282"/>
      <c r="K137" s="282"/>
      <c r="L137" s="282"/>
      <c r="M137" s="277"/>
      <c r="N137" s="297">
        <f>SUM(N138:N141)</f>
        <v>0</v>
      </c>
      <c r="O137" s="282">
        <f t="shared" ref="O137:O149" si="20">SUM(C137-N137)</f>
        <v>22900000</v>
      </c>
      <c r="P137" s="277"/>
    </row>
    <row r="138" spans="1:16" ht="42" x14ac:dyDescent="0.3">
      <c r="A138" s="263" t="s">
        <v>579</v>
      </c>
      <c r="B138" s="264" t="s">
        <v>329</v>
      </c>
      <c r="C138" s="281">
        <v>1600000</v>
      </c>
      <c r="D138" s="281"/>
      <c r="E138" s="281"/>
      <c r="F138" s="281"/>
      <c r="G138" s="281"/>
      <c r="H138" s="281"/>
      <c r="I138" s="281"/>
      <c r="J138" s="281"/>
      <c r="K138" s="281"/>
      <c r="L138" s="281"/>
      <c r="M138" s="264"/>
      <c r="N138" s="293">
        <f>SUM(D138:M138)</f>
        <v>0</v>
      </c>
      <c r="O138" s="293">
        <f t="shared" si="20"/>
        <v>1600000</v>
      </c>
      <c r="P138" s="264"/>
    </row>
    <row r="139" spans="1:16" ht="28.2" x14ac:dyDescent="0.3">
      <c r="A139" s="263" t="s">
        <v>580</v>
      </c>
      <c r="B139" s="264" t="s">
        <v>581</v>
      </c>
      <c r="C139" s="281">
        <v>9600000</v>
      </c>
      <c r="D139" s="281"/>
      <c r="E139" s="281"/>
      <c r="F139" s="281"/>
      <c r="G139" s="281"/>
      <c r="H139" s="281"/>
      <c r="I139" s="281"/>
      <c r="J139" s="281"/>
      <c r="K139" s="281"/>
      <c r="L139" s="281"/>
      <c r="M139" s="264"/>
      <c r="N139" s="293">
        <f>SUM(D139:M139)</f>
        <v>0</v>
      </c>
      <c r="O139" s="293">
        <f t="shared" si="20"/>
        <v>9600000</v>
      </c>
      <c r="P139" s="264"/>
    </row>
    <row r="140" spans="1:16" ht="28.2" x14ac:dyDescent="0.3">
      <c r="A140" s="263" t="s">
        <v>582</v>
      </c>
      <c r="B140" s="264" t="s">
        <v>583</v>
      </c>
      <c r="C140" s="281">
        <v>2100000</v>
      </c>
      <c r="D140" s="281"/>
      <c r="E140" s="281"/>
      <c r="F140" s="281"/>
      <c r="G140" s="281"/>
      <c r="H140" s="281"/>
      <c r="I140" s="281"/>
      <c r="J140" s="281"/>
      <c r="K140" s="281"/>
      <c r="L140" s="281"/>
      <c r="M140" s="264"/>
      <c r="N140" s="293">
        <f>SUM(D140:M140)</f>
        <v>0</v>
      </c>
      <c r="O140" s="293">
        <f t="shared" si="20"/>
        <v>2100000</v>
      </c>
      <c r="P140" s="264"/>
    </row>
    <row r="141" spans="1:16" ht="42" x14ac:dyDescent="0.3">
      <c r="A141" s="263" t="s">
        <v>584</v>
      </c>
      <c r="B141" s="264" t="s">
        <v>585</v>
      </c>
      <c r="C141" s="281">
        <v>9600000</v>
      </c>
      <c r="D141" s="281"/>
      <c r="E141" s="281"/>
      <c r="F141" s="281"/>
      <c r="G141" s="281"/>
      <c r="H141" s="281"/>
      <c r="I141" s="281"/>
      <c r="J141" s="281"/>
      <c r="K141" s="281"/>
      <c r="L141" s="281"/>
      <c r="M141" s="264"/>
      <c r="N141" s="293">
        <f>SUM(D141:M141)</f>
        <v>0</v>
      </c>
      <c r="O141" s="293">
        <f t="shared" si="20"/>
        <v>9600000</v>
      </c>
      <c r="P141" s="264"/>
    </row>
    <row r="142" spans="1:16" x14ac:dyDescent="0.3">
      <c r="A142" s="259">
        <v>10</v>
      </c>
      <c r="B142" s="260" t="s">
        <v>586</v>
      </c>
      <c r="C142" s="282">
        <f>SUM(C143:C147)</f>
        <v>32300000</v>
      </c>
      <c r="D142" s="282"/>
      <c r="E142" s="282"/>
      <c r="F142" s="282"/>
      <c r="G142" s="282"/>
      <c r="H142" s="282"/>
      <c r="I142" s="282"/>
      <c r="J142" s="282"/>
      <c r="K142" s="282"/>
      <c r="L142" s="282"/>
      <c r="M142" s="277"/>
      <c r="N142" s="297">
        <f>SUM(N143:N147)</f>
        <v>0</v>
      </c>
      <c r="O142" s="282">
        <f t="shared" si="20"/>
        <v>32300000</v>
      </c>
      <c r="P142" s="277"/>
    </row>
    <row r="143" spans="1:16" ht="42" x14ac:dyDescent="0.3">
      <c r="A143" s="263" t="s">
        <v>587</v>
      </c>
      <c r="B143" s="264" t="s">
        <v>588</v>
      </c>
      <c r="C143" s="281">
        <v>9600000</v>
      </c>
      <c r="D143" s="281"/>
      <c r="E143" s="281"/>
      <c r="F143" s="281"/>
      <c r="G143" s="281"/>
      <c r="H143" s="281"/>
      <c r="I143" s="281"/>
      <c r="J143" s="281"/>
      <c r="K143" s="281"/>
      <c r="L143" s="281"/>
      <c r="M143" s="264"/>
      <c r="N143" s="293">
        <f>SUM(D143:M143)</f>
        <v>0</v>
      </c>
      <c r="O143" s="293">
        <f t="shared" si="20"/>
        <v>9600000</v>
      </c>
      <c r="P143" s="264"/>
    </row>
    <row r="144" spans="1:16" ht="28.2" x14ac:dyDescent="0.3">
      <c r="A144" s="263" t="s">
        <v>589</v>
      </c>
      <c r="B144" s="264" t="s">
        <v>590</v>
      </c>
      <c r="C144" s="281">
        <v>9600000</v>
      </c>
      <c r="D144" s="281"/>
      <c r="E144" s="281"/>
      <c r="F144" s="281"/>
      <c r="G144" s="281"/>
      <c r="H144" s="281"/>
      <c r="I144" s="281"/>
      <c r="J144" s="281"/>
      <c r="K144" s="281"/>
      <c r="L144" s="281"/>
      <c r="M144" s="264"/>
      <c r="N144" s="293">
        <f>SUM(D144:M144)</f>
        <v>0</v>
      </c>
      <c r="O144" s="293">
        <f t="shared" si="20"/>
        <v>9600000</v>
      </c>
      <c r="P144" s="264"/>
    </row>
    <row r="145" spans="1:16" ht="28.2" x14ac:dyDescent="0.3">
      <c r="A145" s="263" t="s">
        <v>591</v>
      </c>
      <c r="B145" s="264" t="s">
        <v>331</v>
      </c>
      <c r="C145" s="281">
        <v>2100000</v>
      </c>
      <c r="D145" s="281"/>
      <c r="E145" s="281"/>
      <c r="F145" s="281"/>
      <c r="G145" s="281"/>
      <c r="H145" s="281"/>
      <c r="I145" s="281"/>
      <c r="J145" s="281"/>
      <c r="K145" s="281"/>
      <c r="L145" s="281"/>
      <c r="M145" s="264"/>
      <c r="N145" s="293">
        <f>SUM(D145:M145)</f>
        <v>0</v>
      </c>
      <c r="O145" s="293">
        <f t="shared" si="20"/>
        <v>2100000</v>
      </c>
      <c r="P145" s="264"/>
    </row>
    <row r="146" spans="1:16" ht="28.2" x14ac:dyDescent="0.3">
      <c r="A146" s="263" t="s">
        <v>592</v>
      </c>
      <c r="B146" s="264" t="s">
        <v>593</v>
      </c>
      <c r="C146" s="281">
        <v>6000000</v>
      </c>
      <c r="D146" s="281"/>
      <c r="E146" s="281"/>
      <c r="F146" s="281"/>
      <c r="G146" s="281"/>
      <c r="H146" s="281"/>
      <c r="I146" s="281"/>
      <c r="J146" s="281"/>
      <c r="K146" s="281"/>
      <c r="L146" s="281"/>
      <c r="M146" s="264"/>
      <c r="N146" s="293">
        <f>SUM(D146:M146)</f>
        <v>0</v>
      </c>
      <c r="O146" s="293">
        <f t="shared" si="20"/>
        <v>6000000</v>
      </c>
      <c r="P146" s="264"/>
    </row>
    <row r="147" spans="1:16" ht="28.5" customHeight="1" x14ac:dyDescent="0.3">
      <c r="A147" s="263" t="s">
        <v>594</v>
      </c>
      <c r="B147" s="264" t="s">
        <v>333</v>
      </c>
      <c r="C147" s="281">
        <v>5000000</v>
      </c>
      <c r="D147" s="281"/>
      <c r="E147" s="281"/>
      <c r="F147" s="281"/>
      <c r="G147" s="281"/>
      <c r="H147" s="281"/>
      <c r="I147" s="281"/>
      <c r="J147" s="281"/>
      <c r="K147" s="281"/>
      <c r="L147" s="281"/>
      <c r="M147" s="264"/>
      <c r="N147" s="293">
        <f>SUM(D147:M147)</f>
        <v>0</v>
      </c>
      <c r="O147" s="293">
        <f t="shared" si="20"/>
        <v>5000000</v>
      </c>
      <c r="P147" s="264"/>
    </row>
    <row r="148" spans="1:16" ht="28.2" x14ac:dyDescent="0.3">
      <c r="A148" s="259">
        <v>11</v>
      </c>
      <c r="B148" s="268" t="s">
        <v>194</v>
      </c>
      <c r="C148" s="282">
        <f>SUM(C149:C159)</f>
        <v>206572000</v>
      </c>
      <c r="D148" s="282"/>
      <c r="E148" s="282"/>
      <c r="F148" s="282"/>
      <c r="G148" s="282"/>
      <c r="H148" s="282"/>
      <c r="I148" s="282"/>
      <c r="J148" s="282"/>
      <c r="K148" s="282"/>
      <c r="L148" s="282"/>
      <c r="M148" s="277"/>
      <c r="N148" s="282">
        <f>SUM(N149:N159)</f>
        <v>2435000</v>
      </c>
      <c r="O148" s="282">
        <f t="shared" si="20"/>
        <v>204137000</v>
      </c>
      <c r="P148" s="277"/>
    </row>
    <row r="149" spans="1:16" ht="42" x14ac:dyDescent="0.3">
      <c r="A149" s="263" t="s">
        <v>595</v>
      </c>
      <c r="B149" s="264" t="s">
        <v>335</v>
      </c>
      <c r="C149" s="281">
        <v>6000000</v>
      </c>
      <c r="D149" s="281">
        <v>630000</v>
      </c>
      <c r="E149" s="281"/>
      <c r="F149" s="281"/>
      <c r="G149" s="281"/>
      <c r="H149" s="281"/>
      <c r="I149" s="281"/>
      <c r="J149" s="281"/>
      <c r="K149" s="281"/>
      <c r="L149" s="281"/>
      <c r="M149" s="264"/>
      <c r="N149" s="293">
        <f>SUM(D149:M149)</f>
        <v>630000</v>
      </c>
      <c r="O149" s="293">
        <f t="shared" si="20"/>
        <v>5370000</v>
      </c>
      <c r="P149" s="264"/>
    </row>
    <row r="150" spans="1:16" ht="55.8" x14ac:dyDescent="0.3">
      <c r="A150" s="263" t="s">
        <v>596</v>
      </c>
      <c r="B150" s="264" t="s">
        <v>337</v>
      </c>
      <c r="C150" s="281">
        <v>7000000</v>
      </c>
      <c r="D150" s="281"/>
      <c r="E150" s="281"/>
      <c r="F150" s="281"/>
      <c r="G150" s="281"/>
      <c r="H150" s="281"/>
      <c r="I150" s="281"/>
      <c r="J150" s="281"/>
      <c r="K150" s="281"/>
      <c r="L150" s="281"/>
      <c r="M150" s="264"/>
      <c r="N150" s="293">
        <f t="shared" ref="N150:N159" si="21">SUM(D150:M150)</f>
        <v>0</v>
      </c>
      <c r="O150" s="293">
        <f t="shared" ref="O150:O159" si="22">SUM(C150-N150)</f>
        <v>7000000</v>
      </c>
      <c r="P150" s="264"/>
    </row>
    <row r="151" spans="1:16" ht="28.2" x14ac:dyDescent="0.3">
      <c r="A151" s="263" t="s">
        <v>597</v>
      </c>
      <c r="B151" s="264" t="s">
        <v>598</v>
      </c>
      <c r="C151" s="281">
        <v>9600000</v>
      </c>
      <c r="D151" s="281"/>
      <c r="E151" s="281"/>
      <c r="F151" s="281"/>
      <c r="G151" s="281"/>
      <c r="H151" s="281"/>
      <c r="I151" s="281"/>
      <c r="J151" s="281"/>
      <c r="K151" s="281"/>
      <c r="L151" s="281"/>
      <c r="M151" s="264"/>
      <c r="N151" s="293">
        <f t="shared" si="21"/>
        <v>0</v>
      </c>
      <c r="O151" s="293">
        <f t="shared" si="22"/>
        <v>9600000</v>
      </c>
      <c r="P151" s="264"/>
    </row>
    <row r="152" spans="1:16" ht="42" x14ac:dyDescent="0.3">
      <c r="A152" s="263" t="s">
        <v>599</v>
      </c>
      <c r="B152" s="264" t="s">
        <v>600</v>
      </c>
      <c r="C152" s="281">
        <v>9600000</v>
      </c>
      <c r="D152" s="281">
        <v>1805000</v>
      </c>
      <c r="E152" s="281"/>
      <c r="F152" s="281"/>
      <c r="G152" s="281"/>
      <c r="H152" s="281"/>
      <c r="I152" s="281"/>
      <c r="J152" s="281"/>
      <c r="K152" s="281"/>
      <c r="L152" s="281"/>
      <c r="M152" s="264"/>
      <c r="N152" s="293">
        <f t="shared" si="21"/>
        <v>1805000</v>
      </c>
      <c r="O152" s="293">
        <f t="shared" si="22"/>
        <v>7795000</v>
      </c>
      <c r="P152" s="264"/>
    </row>
    <row r="153" spans="1:16" ht="28.2" x14ac:dyDescent="0.3">
      <c r="A153" s="263" t="s">
        <v>601</v>
      </c>
      <c r="B153" s="264" t="s">
        <v>339</v>
      </c>
      <c r="C153" s="281">
        <v>2100000</v>
      </c>
      <c r="D153" s="281"/>
      <c r="E153" s="281"/>
      <c r="F153" s="281"/>
      <c r="G153" s="281"/>
      <c r="H153" s="281"/>
      <c r="I153" s="281"/>
      <c r="J153" s="281"/>
      <c r="K153" s="281"/>
      <c r="L153" s="281"/>
      <c r="M153" s="264"/>
      <c r="N153" s="293">
        <f t="shared" si="21"/>
        <v>0</v>
      </c>
      <c r="O153" s="293">
        <f t="shared" si="22"/>
        <v>2100000</v>
      </c>
      <c r="P153" s="264"/>
    </row>
    <row r="154" spans="1:16" ht="42" x14ac:dyDescent="0.3">
      <c r="A154" s="263" t="s">
        <v>602</v>
      </c>
      <c r="B154" s="264" t="s">
        <v>603</v>
      </c>
      <c r="C154" s="281">
        <v>0</v>
      </c>
      <c r="D154" s="281"/>
      <c r="E154" s="281"/>
      <c r="F154" s="281"/>
      <c r="G154" s="281"/>
      <c r="H154" s="281"/>
      <c r="I154" s="281"/>
      <c r="J154" s="281"/>
      <c r="K154" s="281"/>
      <c r="L154" s="281"/>
      <c r="M154" s="264"/>
      <c r="N154" s="293">
        <f t="shared" si="21"/>
        <v>0</v>
      </c>
      <c r="O154" s="293">
        <f t="shared" si="22"/>
        <v>0</v>
      </c>
      <c r="P154" s="264"/>
    </row>
    <row r="155" spans="1:16" ht="42" x14ac:dyDescent="0.3">
      <c r="A155" s="263" t="s">
        <v>604</v>
      </c>
      <c r="B155" s="264" t="s">
        <v>605</v>
      </c>
      <c r="C155" s="281">
        <v>10000000</v>
      </c>
      <c r="D155" s="281"/>
      <c r="E155" s="281"/>
      <c r="F155" s="281"/>
      <c r="G155" s="281"/>
      <c r="H155" s="281"/>
      <c r="I155" s="281"/>
      <c r="J155" s="281"/>
      <c r="K155" s="281"/>
      <c r="L155" s="281"/>
      <c r="M155" s="264"/>
      <c r="N155" s="293">
        <f t="shared" si="21"/>
        <v>0</v>
      </c>
      <c r="O155" s="293">
        <f t="shared" si="22"/>
        <v>10000000</v>
      </c>
      <c r="P155" s="264"/>
    </row>
    <row r="156" spans="1:16" ht="42" x14ac:dyDescent="0.3">
      <c r="A156" s="263" t="s">
        <v>606</v>
      </c>
      <c r="B156" s="264" t="s">
        <v>607</v>
      </c>
      <c r="C156" s="281">
        <v>21000000</v>
      </c>
      <c r="D156" s="281"/>
      <c r="E156" s="281"/>
      <c r="F156" s="281"/>
      <c r="G156" s="281"/>
      <c r="H156" s="281"/>
      <c r="I156" s="281"/>
      <c r="J156" s="281"/>
      <c r="K156" s="281"/>
      <c r="L156" s="281"/>
      <c r="M156" s="264"/>
      <c r="N156" s="293">
        <f t="shared" si="21"/>
        <v>0</v>
      </c>
      <c r="O156" s="293">
        <f t="shared" si="22"/>
        <v>21000000</v>
      </c>
      <c r="P156" s="264"/>
    </row>
    <row r="157" spans="1:16" ht="28.2" x14ac:dyDescent="0.3">
      <c r="A157" s="263" t="s">
        <v>608</v>
      </c>
      <c r="B157" s="264" t="s">
        <v>609</v>
      </c>
      <c r="C157" s="281">
        <v>9000000</v>
      </c>
      <c r="D157" s="281"/>
      <c r="E157" s="281"/>
      <c r="F157" s="281"/>
      <c r="G157" s="281"/>
      <c r="H157" s="281"/>
      <c r="I157" s="281"/>
      <c r="J157" s="281"/>
      <c r="K157" s="281"/>
      <c r="L157" s="281"/>
      <c r="M157" s="264"/>
      <c r="N157" s="293">
        <f t="shared" si="21"/>
        <v>0</v>
      </c>
      <c r="O157" s="293">
        <f t="shared" si="22"/>
        <v>9000000</v>
      </c>
      <c r="P157" s="264"/>
    </row>
    <row r="158" spans="1:16" ht="42" x14ac:dyDescent="0.3">
      <c r="A158" s="263" t="s">
        <v>610</v>
      </c>
      <c r="B158" s="264" t="s">
        <v>611</v>
      </c>
      <c r="C158" s="281">
        <v>7500000</v>
      </c>
      <c r="D158" s="281"/>
      <c r="E158" s="281"/>
      <c r="F158" s="281"/>
      <c r="G158" s="281"/>
      <c r="H158" s="281"/>
      <c r="I158" s="281"/>
      <c r="J158" s="281"/>
      <c r="K158" s="281"/>
      <c r="L158" s="281"/>
      <c r="M158" s="264"/>
      <c r="N158" s="293">
        <f t="shared" si="21"/>
        <v>0</v>
      </c>
      <c r="O158" s="293">
        <f t="shared" si="22"/>
        <v>7500000</v>
      </c>
      <c r="P158" s="264"/>
    </row>
    <row r="159" spans="1:16" ht="28.2" x14ac:dyDescent="0.3">
      <c r="A159" s="263" t="s">
        <v>612</v>
      </c>
      <c r="B159" s="264" t="s">
        <v>613</v>
      </c>
      <c r="C159" s="281">
        <v>124772000</v>
      </c>
      <c r="D159" s="281"/>
      <c r="E159" s="281"/>
      <c r="F159" s="281"/>
      <c r="G159" s="281"/>
      <c r="H159" s="281"/>
      <c r="I159" s="281"/>
      <c r="J159" s="281"/>
      <c r="K159" s="281"/>
      <c r="L159" s="281"/>
      <c r="M159" s="264"/>
      <c r="N159" s="293">
        <f t="shared" si="21"/>
        <v>0</v>
      </c>
      <c r="O159" s="293">
        <f t="shared" si="22"/>
        <v>124772000</v>
      </c>
      <c r="P159" s="264"/>
    </row>
    <row r="160" spans="1:16" x14ac:dyDescent="0.3">
      <c r="A160" s="260">
        <v>12</v>
      </c>
      <c r="B160" s="260" t="s">
        <v>614</v>
      </c>
      <c r="C160" s="282">
        <f>SUM(C161)</f>
        <v>16470000</v>
      </c>
      <c r="D160" s="282"/>
      <c r="E160" s="282"/>
      <c r="F160" s="282"/>
      <c r="G160" s="282"/>
      <c r="H160" s="282"/>
      <c r="I160" s="282"/>
      <c r="J160" s="282"/>
      <c r="K160" s="282"/>
      <c r="L160" s="282"/>
      <c r="M160" s="277"/>
      <c r="N160" s="297">
        <f>SUM(N161)</f>
        <v>900000</v>
      </c>
      <c r="O160" s="297">
        <f>SUM(C160-N160)</f>
        <v>15570000</v>
      </c>
      <c r="P160" s="277"/>
    </row>
    <row r="161" spans="1:16" ht="28.2" x14ac:dyDescent="0.3">
      <c r="A161" s="263" t="s">
        <v>615</v>
      </c>
      <c r="B161" s="264" t="s">
        <v>341</v>
      </c>
      <c r="C161" s="281">
        <v>16470000</v>
      </c>
      <c r="D161" s="281">
        <v>900000</v>
      </c>
      <c r="E161" s="281"/>
      <c r="F161" s="281"/>
      <c r="G161" s="281"/>
      <c r="H161" s="281"/>
      <c r="I161" s="281"/>
      <c r="J161" s="281"/>
      <c r="K161" s="281"/>
      <c r="L161" s="281"/>
      <c r="M161" s="264"/>
      <c r="N161" s="293">
        <f>SUM(D161:M161)</f>
        <v>900000</v>
      </c>
      <c r="O161" s="293">
        <f>SUM(C161-N161)</f>
        <v>15570000</v>
      </c>
      <c r="P161" s="264"/>
    </row>
    <row r="162" spans="1:16" x14ac:dyDescent="0.3">
      <c r="A162" s="259">
        <v>13</v>
      </c>
      <c r="B162" s="260" t="s">
        <v>616</v>
      </c>
      <c r="C162" s="282">
        <f>SUM(C163:C182)</f>
        <v>573488800</v>
      </c>
      <c r="D162" s="282"/>
      <c r="E162" s="282"/>
      <c r="F162" s="282"/>
      <c r="G162" s="282"/>
      <c r="H162" s="282"/>
      <c r="I162" s="282"/>
      <c r="J162" s="282"/>
      <c r="K162" s="282"/>
      <c r="L162" s="282"/>
      <c r="M162" s="277"/>
      <c r="N162" s="297">
        <f>SUM(N163:N182)</f>
        <v>0</v>
      </c>
      <c r="O162" s="297">
        <f>SUM(C162-N162)</f>
        <v>573488800</v>
      </c>
      <c r="P162" s="277"/>
    </row>
    <row r="163" spans="1:16" ht="69.599999999999994" x14ac:dyDescent="0.3">
      <c r="A163" s="263" t="s">
        <v>617</v>
      </c>
      <c r="B163" s="264" t="s">
        <v>303</v>
      </c>
      <c r="C163" s="281">
        <v>118807600</v>
      </c>
      <c r="D163" s="281"/>
      <c r="E163" s="281"/>
      <c r="F163" s="281"/>
      <c r="G163" s="281"/>
      <c r="H163" s="281"/>
      <c r="I163" s="281"/>
      <c r="J163" s="281"/>
      <c r="K163" s="281"/>
      <c r="L163" s="281"/>
      <c r="M163" s="264"/>
      <c r="N163" s="293">
        <f>SUM(D163:M163)</f>
        <v>0</v>
      </c>
      <c r="O163" s="293">
        <f>SUM(C163-N163)</f>
        <v>118807600</v>
      </c>
      <c r="P163" s="264"/>
    </row>
    <row r="164" spans="1:16" ht="42" x14ac:dyDescent="0.3">
      <c r="A164" s="263" t="s">
        <v>618</v>
      </c>
      <c r="B164" s="264" t="s">
        <v>305</v>
      </c>
      <c r="C164" s="281">
        <v>5500000</v>
      </c>
      <c r="D164" s="281"/>
      <c r="E164" s="281"/>
      <c r="F164" s="281"/>
      <c r="G164" s="281"/>
      <c r="H164" s="281"/>
      <c r="I164" s="281"/>
      <c r="J164" s="281"/>
      <c r="K164" s="281"/>
      <c r="L164" s="281"/>
      <c r="M164" s="264"/>
      <c r="N164" s="293">
        <f t="shared" ref="N164:N181" si="23">SUM(D164:M164)</f>
        <v>0</v>
      </c>
      <c r="O164" s="293">
        <f t="shared" ref="O164:O182" si="24">SUM(C164-N164)</f>
        <v>5500000</v>
      </c>
      <c r="P164" s="264"/>
    </row>
    <row r="165" spans="1:16" ht="28.2" x14ac:dyDescent="0.3">
      <c r="A165" s="263" t="s">
        <v>619</v>
      </c>
      <c r="B165" s="264" t="s">
        <v>620</v>
      </c>
      <c r="C165" s="281">
        <v>0</v>
      </c>
      <c r="D165" s="281"/>
      <c r="E165" s="281"/>
      <c r="F165" s="281"/>
      <c r="G165" s="281"/>
      <c r="H165" s="281"/>
      <c r="I165" s="281"/>
      <c r="J165" s="281"/>
      <c r="K165" s="281"/>
      <c r="L165" s="281"/>
      <c r="M165" s="264"/>
      <c r="N165" s="293">
        <f t="shared" si="23"/>
        <v>0</v>
      </c>
      <c r="O165" s="293">
        <f t="shared" si="24"/>
        <v>0</v>
      </c>
      <c r="P165" s="264"/>
    </row>
    <row r="166" spans="1:16" ht="28.2" x14ac:dyDescent="0.3">
      <c r="A166" s="263" t="s">
        <v>621</v>
      </c>
      <c r="B166" s="264" t="s">
        <v>622</v>
      </c>
      <c r="C166" s="281">
        <v>16540000</v>
      </c>
      <c r="D166" s="281"/>
      <c r="E166" s="281"/>
      <c r="F166" s="281"/>
      <c r="G166" s="281"/>
      <c r="H166" s="281"/>
      <c r="I166" s="281"/>
      <c r="J166" s="281"/>
      <c r="K166" s="281"/>
      <c r="L166" s="281"/>
      <c r="M166" s="264"/>
      <c r="N166" s="293">
        <f t="shared" si="23"/>
        <v>0</v>
      </c>
      <c r="O166" s="293">
        <f t="shared" si="24"/>
        <v>16540000</v>
      </c>
      <c r="P166" s="264"/>
    </row>
    <row r="167" spans="1:16" ht="28.2" x14ac:dyDescent="0.3">
      <c r="A167" s="263" t="s">
        <v>623</v>
      </c>
      <c r="B167" s="264" t="s">
        <v>307</v>
      </c>
      <c r="C167" s="281">
        <v>45000000</v>
      </c>
      <c r="D167" s="281"/>
      <c r="E167" s="281"/>
      <c r="F167" s="281"/>
      <c r="G167" s="281"/>
      <c r="H167" s="281"/>
      <c r="I167" s="281"/>
      <c r="J167" s="281"/>
      <c r="K167" s="281"/>
      <c r="L167" s="281"/>
      <c r="M167" s="264"/>
      <c r="N167" s="293">
        <f t="shared" si="23"/>
        <v>0</v>
      </c>
      <c r="O167" s="293">
        <f t="shared" si="24"/>
        <v>45000000</v>
      </c>
      <c r="P167" s="264"/>
    </row>
    <row r="168" spans="1:16" ht="28.2" x14ac:dyDescent="0.3">
      <c r="A168" s="263" t="s">
        <v>624</v>
      </c>
      <c r="B168" s="264" t="s">
        <v>291</v>
      </c>
      <c r="C168" s="281">
        <v>2500000</v>
      </c>
      <c r="D168" s="281"/>
      <c r="E168" s="281"/>
      <c r="F168" s="281"/>
      <c r="G168" s="281"/>
      <c r="H168" s="281"/>
      <c r="I168" s="281"/>
      <c r="J168" s="281"/>
      <c r="K168" s="281"/>
      <c r="L168" s="281"/>
      <c r="M168" s="264"/>
      <c r="N168" s="293">
        <f t="shared" si="23"/>
        <v>0</v>
      </c>
      <c r="O168" s="293">
        <f t="shared" si="24"/>
        <v>2500000</v>
      </c>
      <c r="P168" s="264"/>
    </row>
    <row r="169" spans="1:16" ht="42" x14ac:dyDescent="0.3">
      <c r="A169" s="263" t="s">
        <v>625</v>
      </c>
      <c r="B169" s="264" t="s">
        <v>293</v>
      </c>
      <c r="C169" s="281">
        <v>7000000</v>
      </c>
      <c r="D169" s="281"/>
      <c r="E169" s="281"/>
      <c r="F169" s="281"/>
      <c r="G169" s="281"/>
      <c r="H169" s="281"/>
      <c r="I169" s="281"/>
      <c r="J169" s="281"/>
      <c r="K169" s="281"/>
      <c r="L169" s="281"/>
      <c r="M169" s="264"/>
      <c r="N169" s="293">
        <f t="shared" si="23"/>
        <v>0</v>
      </c>
      <c r="O169" s="293">
        <f t="shared" si="24"/>
        <v>7000000</v>
      </c>
      <c r="P169" s="264"/>
    </row>
    <row r="170" spans="1:16" ht="42" x14ac:dyDescent="0.3">
      <c r="A170" s="263" t="s">
        <v>626</v>
      </c>
      <c r="B170" s="264" t="s">
        <v>309</v>
      </c>
      <c r="C170" s="281">
        <v>8500000</v>
      </c>
      <c r="D170" s="281"/>
      <c r="E170" s="281"/>
      <c r="F170" s="281"/>
      <c r="G170" s="281"/>
      <c r="H170" s="281"/>
      <c r="I170" s="281"/>
      <c r="J170" s="281"/>
      <c r="K170" s="281"/>
      <c r="L170" s="281"/>
      <c r="M170" s="264"/>
      <c r="N170" s="293">
        <f t="shared" si="23"/>
        <v>0</v>
      </c>
      <c r="O170" s="293">
        <f t="shared" si="24"/>
        <v>8500000</v>
      </c>
      <c r="P170" s="264"/>
    </row>
    <row r="171" spans="1:16" ht="28.2" x14ac:dyDescent="0.3">
      <c r="A171" s="263" t="s">
        <v>627</v>
      </c>
      <c r="B171" s="264" t="s">
        <v>628</v>
      </c>
      <c r="C171" s="281">
        <v>2400000</v>
      </c>
      <c r="D171" s="281"/>
      <c r="E171" s="281"/>
      <c r="F171" s="281"/>
      <c r="G171" s="281"/>
      <c r="H171" s="281"/>
      <c r="I171" s="281"/>
      <c r="J171" s="281"/>
      <c r="K171" s="281"/>
      <c r="L171" s="281"/>
      <c r="M171" s="264"/>
      <c r="N171" s="293">
        <f t="shared" si="23"/>
        <v>0</v>
      </c>
      <c r="O171" s="293">
        <f t="shared" si="24"/>
        <v>2400000</v>
      </c>
      <c r="P171" s="264"/>
    </row>
    <row r="172" spans="1:16" ht="42" x14ac:dyDescent="0.3">
      <c r="A172" s="263" t="s">
        <v>629</v>
      </c>
      <c r="B172" s="264" t="s">
        <v>310</v>
      </c>
      <c r="C172" s="281">
        <v>6936800</v>
      </c>
      <c r="D172" s="281"/>
      <c r="E172" s="281"/>
      <c r="F172" s="281"/>
      <c r="G172" s="281"/>
      <c r="H172" s="281"/>
      <c r="I172" s="281"/>
      <c r="J172" s="281"/>
      <c r="K172" s="281"/>
      <c r="L172" s="281"/>
      <c r="M172" s="264"/>
      <c r="N172" s="293">
        <f t="shared" si="23"/>
        <v>0</v>
      </c>
      <c r="O172" s="293">
        <f t="shared" si="24"/>
        <v>6936800</v>
      </c>
      <c r="P172" s="264"/>
    </row>
    <row r="173" spans="1:16" ht="42" x14ac:dyDescent="0.3">
      <c r="A173" s="263" t="s">
        <v>630</v>
      </c>
      <c r="B173" s="264" t="s">
        <v>311</v>
      </c>
      <c r="C173" s="281">
        <v>5500000</v>
      </c>
      <c r="D173" s="281"/>
      <c r="E173" s="281"/>
      <c r="F173" s="281"/>
      <c r="G173" s="281"/>
      <c r="H173" s="281"/>
      <c r="I173" s="281"/>
      <c r="J173" s="281"/>
      <c r="K173" s="281"/>
      <c r="L173" s="281"/>
      <c r="M173" s="264"/>
      <c r="N173" s="293">
        <f t="shared" si="23"/>
        <v>0</v>
      </c>
      <c r="O173" s="293">
        <f t="shared" si="24"/>
        <v>5500000</v>
      </c>
      <c r="P173" s="264"/>
    </row>
    <row r="174" spans="1:16" ht="28.2" x14ac:dyDescent="0.3">
      <c r="A174" s="263" t="s">
        <v>631</v>
      </c>
      <c r="B174" s="264" t="s">
        <v>632</v>
      </c>
      <c r="C174" s="281">
        <v>9600000</v>
      </c>
      <c r="D174" s="281"/>
      <c r="E174" s="281"/>
      <c r="F174" s="281"/>
      <c r="G174" s="281"/>
      <c r="H174" s="281"/>
      <c r="I174" s="281"/>
      <c r="J174" s="281"/>
      <c r="K174" s="281"/>
      <c r="L174" s="281"/>
      <c r="M174" s="264"/>
      <c r="N174" s="293">
        <f t="shared" si="23"/>
        <v>0</v>
      </c>
      <c r="O174" s="293">
        <f t="shared" si="24"/>
        <v>9600000</v>
      </c>
      <c r="P174" s="264"/>
    </row>
    <row r="175" spans="1:16" ht="28.2" x14ac:dyDescent="0.3">
      <c r="A175" s="263" t="s">
        <v>633</v>
      </c>
      <c r="B175" s="264" t="s">
        <v>634</v>
      </c>
      <c r="C175" s="281">
        <v>14400000</v>
      </c>
      <c r="D175" s="281"/>
      <c r="E175" s="281"/>
      <c r="F175" s="281"/>
      <c r="G175" s="281"/>
      <c r="H175" s="281"/>
      <c r="I175" s="281"/>
      <c r="J175" s="281"/>
      <c r="K175" s="281"/>
      <c r="L175" s="281"/>
      <c r="M175" s="264"/>
      <c r="N175" s="293">
        <f t="shared" si="23"/>
        <v>0</v>
      </c>
      <c r="O175" s="293">
        <f t="shared" si="24"/>
        <v>14400000</v>
      </c>
      <c r="P175" s="264"/>
    </row>
    <row r="176" spans="1:16" ht="42" x14ac:dyDescent="0.3">
      <c r="A176" s="263" t="s">
        <v>635</v>
      </c>
      <c r="B176" s="264" t="s">
        <v>313</v>
      </c>
      <c r="C176" s="281">
        <v>27360000</v>
      </c>
      <c r="D176" s="281"/>
      <c r="E176" s="281"/>
      <c r="F176" s="281"/>
      <c r="G176" s="281"/>
      <c r="H176" s="281"/>
      <c r="I176" s="281"/>
      <c r="J176" s="281"/>
      <c r="K176" s="281"/>
      <c r="L176" s="281"/>
      <c r="M176" s="264"/>
      <c r="N176" s="293">
        <f t="shared" si="23"/>
        <v>0</v>
      </c>
      <c r="O176" s="293">
        <f t="shared" si="24"/>
        <v>27360000</v>
      </c>
      <c r="P176" s="264"/>
    </row>
    <row r="177" spans="1:16" x14ac:dyDescent="0.3">
      <c r="A177" s="263" t="s">
        <v>636</v>
      </c>
      <c r="B177" s="264" t="s">
        <v>637</v>
      </c>
      <c r="C177" s="281">
        <v>16700000</v>
      </c>
      <c r="D177" s="281"/>
      <c r="E177" s="281"/>
      <c r="F177" s="281"/>
      <c r="G177" s="281"/>
      <c r="H177" s="281"/>
      <c r="I177" s="281"/>
      <c r="J177" s="281"/>
      <c r="K177" s="281"/>
      <c r="L177" s="281"/>
      <c r="M177" s="264"/>
      <c r="N177" s="293">
        <f t="shared" si="23"/>
        <v>0</v>
      </c>
      <c r="O177" s="293">
        <f t="shared" si="24"/>
        <v>16700000</v>
      </c>
      <c r="P177" s="264"/>
    </row>
    <row r="178" spans="1:16" ht="42" x14ac:dyDescent="0.3">
      <c r="A178" s="263" t="s">
        <v>638</v>
      </c>
      <c r="B178" s="264" t="s">
        <v>639</v>
      </c>
      <c r="C178" s="281">
        <v>0</v>
      </c>
      <c r="D178" s="281"/>
      <c r="E178" s="281"/>
      <c r="F178" s="281"/>
      <c r="G178" s="281"/>
      <c r="H178" s="281"/>
      <c r="I178" s="281"/>
      <c r="J178" s="281"/>
      <c r="K178" s="281"/>
      <c r="L178" s="281"/>
      <c r="M178" s="264"/>
      <c r="N178" s="293">
        <f t="shared" si="23"/>
        <v>0</v>
      </c>
      <c r="O178" s="293">
        <f t="shared" si="24"/>
        <v>0</v>
      </c>
      <c r="P178" s="264"/>
    </row>
    <row r="179" spans="1:16" ht="42" x14ac:dyDescent="0.3">
      <c r="A179" s="263" t="s">
        <v>640</v>
      </c>
      <c r="B179" s="264" t="s">
        <v>641</v>
      </c>
      <c r="C179" s="281">
        <v>0</v>
      </c>
      <c r="D179" s="281"/>
      <c r="E179" s="281"/>
      <c r="F179" s="281"/>
      <c r="G179" s="281"/>
      <c r="H179" s="281"/>
      <c r="I179" s="281"/>
      <c r="J179" s="281"/>
      <c r="K179" s="281"/>
      <c r="L179" s="281"/>
      <c r="M179" s="264"/>
      <c r="N179" s="293">
        <f t="shared" si="23"/>
        <v>0</v>
      </c>
      <c r="O179" s="293">
        <f t="shared" si="24"/>
        <v>0</v>
      </c>
      <c r="P179" s="264"/>
    </row>
    <row r="180" spans="1:16" ht="42" x14ac:dyDescent="0.3">
      <c r="A180" s="263" t="s">
        <v>642</v>
      </c>
      <c r="B180" s="264" t="s">
        <v>643</v>
      </c>
      <c r="C180" s="281">
        <v>0</v>
      </c>
      <c r="D180" s="281"/>
      <c r="E180" s="281"/>
      <c r="F180" s="281"/>
      <c r="G180" s="281"/>
      <c r="H180" s="281"/>
      <c r="I180" s="281"/>
      <c r="J180" s="281"/>
      <c r="K180" s="281"/>
      <c r="L180" s="281"/>
      <c r="M180" s="264"/>
      <c r="N180" s="293">
        <f t="shared" si="23"/>
        <v>0</v>
      </c>
      <c r="O180" s="293">
        <f t="shared" si="24"/>
        <v>0</v>
      </c>
      <c r="P180" s="264"/>
    </row>
    <row r="181" spans="1:16" ht="55.8" x14ac:dyDescent="0.3">
      <c r="A181" s="263" t="s">
        <v>644</v>
      </c>
      <c r="B181" s="264" t="s">
        <v>645</v>
      </c>
      <c r="C181" s="281">
        <v>0</v>
      </c>
      <c r="D181" s="281"/>
      <c r="E181" s="281"/>
      <c r="F181" s="281"/>
      <c r="G181" s="281"/>
      <c r="H181" s="281"/>
      <c r="I181" s="281"/>
      <c r="J181" s="281"/>
      <c r="K181" s="281"/>
      <c r="L181" s="281"/>
      <c r="M181" s="264"/>
      <c r="N181" s="293">
        <f t="shared" si="23"/>
        <v>0</v>
      </c>
      <c r="O181" s="293">
        <f t="shared" si="24"/>
        <v>0</v>
      </c>
      <c r="P181" s="264"/>
    </row>
    <row r="182" spans="1:16" x14ac:dyDescent="0.3">
      <c r="A182" s="263"/>
      <c r="B182" s="264" t="s">
        <v>646</v>
      </c>
      <c r="C182" s="281">
        <v>286744400</v>
      </c>
      <c r="D182" s="281"/>
      <c r="E182" s="281"/>
      <c r="F182" s="281"/>
      <c r="G182" s="281"/>
      <c r="H182" s="281"/>
      <c r="I182" s="281"/>
      <c r="J182" s="281"/>
      <c r="K182" s="281"/>
      <c r="L182" s="281"/>
      <c r="M182" s="264"/>
      <c r="N182" s="293">
        <f>SUM(D182:M182)</f>
        <v>0</v>
      </c>
      <c r="O182" s="293">
        <f t="shared" si="24"/>
        <v>286744400</v>
      </c>
      <c r="P182" s="264"/>
    </row>
    <row r="183" spans="1:16" x14ac:dyDescent="0.3">
      <c r="A183" s="291">
        <v>14</v>
      </c>
      <c r="B183" s="292" t="s">
        <v>647</v>
      </c>
      <c r="C183" s="282">
        <f>SUM(C184:C193)</f>
        <v>37730000</v>
      </c>
      <c r="D183" s="282"/>
      <c r="E183" s="282"/>
      <c r="F183" s="282"/>
      <c r="G183" s="282"/>
      <c r="H183" s="282"/>
      <c r="I183" s="282"/>
      <c r="J183" s="282"/>
      <c r="K183" s="282"/>
      <c r="L183" s="282"/>
      <c r="M183" s="277"/>
      <c r="N183" s="297">
        <f>SUM(N184:N193)</f>
        <v>0</v>
      </c>
      <c r="O183" s="282">
        <f>SUM(C183-N183)</f>
        <v>37730000</v>
      </c>
      <c r="P183" s="277"/>
    </row>
    <row r="184" spans="1:16" ht="28.2" x14ac:dyDescent="0.3">
      <c r="A184" s="263" t="s">
        <v>648</v>
      </c>
      <c r="B184" s="264" t="s">
        <v>343</v>
      </c>
      <c r="C184" s="281">
        <v>4000000</v>
      </c>
      <c r="D184" s="281"/>
      <c r="E184" s="281"/>
      <c r="F184" s="281"/>
      <c r="G184" s="281"/>
      <c r="H184" s="281"/>
      <c r="I184" s="281"/>
      <c r="J184" s="281"/>
      <c r="K184" s="281"/>
      <c r="L184" s="281"/>
      <c r="M184" s="264"/>
      <c r="N184" s="293">
        <f>SUM(D184:M184)</f>
        <v>0</v>
      </c>
      <c r="O184" s="293">
        <f>SUM(C184-N184)</f>
        <v>4000000</v>
      </c>
      <c r="P184" s="264"/>
    </row>
    <row r="185" spans="1:16" ht="28.5" customHeight="1" x14ac:dyDescent="0.3">
      <c r="A185" s="263" t="s">
        <v>649</v>
      </c>
      <c r="B185" s="264" t="s">
        <v>650</v>
      </c>
      <c r="C185" s="281">
        <v>16350000</v>
      </c>
      <c r="D185" s="281"/>
      <c r="E185" s="281"/>
      <c r="F185" s="281"/>
      <c r="G185" s="281"/>
      <c r="H185" s="281"/>
      <c r="I185" s="281"/>
      <c r="J185" s="281"/>
      <c r="K185" s="281"/>
      <c r="L185" s="281"/>
      <c r="M185" s="264"/>
      <c r="N185" s="293">
        <f t="shared" ref="N185:N193" si="25">SUM(D185:M185)</f>
        <v>0</v>
      </c>
      <c r="O185" s="293">
        <f t="shared" ref="O185:O193" si="26">SUM(C185-N185)</f>
        <v>16350000</v>
      </c>
      <c r="P185" s="264"/>
    </row>
    <row r="186" spans="1:16" x14ac:dyDescent="0.3">
      <c r="A186" s="263" t="s">
        <v>651</v>
      </c>
      <c r="B186" s="264" t="s">
        <v>345</v>
      </c>
      <c r="C186" s="281">
        <v>3000000</v>
      </c>
      <c r="D186" s="281"/>
      <c r="E186" s="281"/>
      <c r="F186" s="281"/>
      <c r="G186" s="281"/>
      <c r="H186" s="281"/>
      <c r="I186" s="281"/>
      <c r="J186" s="281"/>
      <c r="K186" s="281"/>
      <c r="L186" s="281"/>
      <c r="M186" s="264"/>
      <c r="N186" s="293">
        <f t="shared" si="25"/>
        <v>0</v>
      </c>
      <c r="O186" s="293">
        <f t="shared" si="26"/>
        <v>3000000</v>
      </c>
      <c r="P186" s="264"/>
    </row>
    <row r="187" spans="1:16" ht="69.599999999999994" x14ac:dyDescent="0.3">
      <c r="A187" s="263" t="s">
        <v>652</v>
      </c>
      <c r="B187" s="264" t="s">
        <v>347</v>
      </c>
      <c r="C187" s="281">
        <v>4500000</v>
      </c>
      <c r="D187" s="281"/>
      <c r="E187" s="281"/>
      <c r="F187" s="281"/>
      <c r="G187" s="281"/>
      <c r="H187" s="281"/>
      <c r="I187" s="281"/>
      <c r="J187" s="281"/>
      <c r="K187" s="281"/>
      <c r="L187" s="281"/>
      <c r="M187" s="264"/>
      <c r="N187" s="293">
        <f t="shared" si="25"/>
        <v>0</v>
      </c>
      <c r="O187" s="293">
        <f t="shared" si="26"/>
        <v>4500000</v>
      </c>
      <c r="P187" s="264"/>
    </row>
    <row r="188" spans="1:16" ht="28.2" x14ac:dyDescent="0.3">
      <c r="A188" s="263" t="s">
        <v>653</v>
      </c>
      <c r="B188" s="264" t="s">
        <v>349</v>
      </c>
      <c r="C188" s="281">
        <v>1000000</v>
      </c>
      <c r="D188" s="281"/>
      <c r="E188" s="281"/>
      <c r="F188" s="281"/>
      <c r="G188" s="281"/>
      <c r="H188" s="281"/>
      <c r="I188" s="281"/>
      <c r="J188" s="281"/>
      <c r="K188" s="281"/>
      <c r="L188" s="281"/>
      <c r="M188" s="264"/>
      <c r="N188" s="293">
        <f t="shared" si="25"/>
        <v>0</v>
      </c>
      <c r="O188" s="293">
        <f t="shared" si="26"/>
        <v>1000000</v>
      </c>
      <c r="P188" s="264"/>
    </row>
    <row r="189" spans="1:16" ht="42" x14ac:dyDescent="0.3">
      <c r="A189" s="263" t="s">
        <v>654</v>
      </c>
      <c r="B189" s="264" t="s">
        <v>351</v>
      </c>
      <c r="C189" s="281">
        <v>1380000</v>
      </c>
      <c r="D189" s="281"/>
      <c r="E189" s="281"/>
      <c r="F189" s="281"/>
      <c r="G189" s="281"/>
      <c r="H189" s="281"/>
      <c r="I189" s="281"/>
      <c r="J189" s="281"/>
      <c r="K189" s="281"/>
      <c r="L189" s="281"/>
      <c r="M189" s="264"/>
      <c r="N189" s="293">
        <f t="shared" si="25"/>
        <v>0</v>
      </c>
      <c r="O189" s="293">
        <f t="shared" si="26"/>
        <v>1380000</v>
      </c>
      <c r="P189" s="264"/>
    </row>
    <row r="190" spans="1:16" ht="42" x14ac:dyDescent="0.3">
      <c r="A190" s="263" t="s">
        <v>655</v>
      </c>
      <c r="B190" s="264" t="s">
        <v>352</v>
      </c>
      <c r="C190" s="281">
        <v>1000000</v>
      </c>
      <c r="D190" s="281"/>
      <c r="E190" s="281"/>
      <c r="F190" s="281"/>
      <c r="G190" s="281"/>
      <c r="H190" s="281"/>
      <c r="I190" s="281"/>
      <c r="J190" s="281"/>
      <c r="K190" s="281"/>
      <c r="L190" s="281"/>
      <c r="M190" s="264"/>
      <c r="N190" s="293">
        <f t="shared" si="25"/>
        <v>0</v>
      </c>
      <c r="O190" s="293">
        <f t="shared" si="26"/>
        <v>1000000</v>
      </c>
      <c r="P190" s="264"/>
    </row>
    <row r="191" spans="1:16" ht="28.2" x14ac:dyDescent="0.3">
      <c r="A191" s="263" t="s">
        <v>656</v>
      </c>
      <c r="B191" s="264" t="s">
        <v>657</v>
      </c>
      <c r="C191" s="281">
        <v>3000000</v>
      </c>
      <c r="D191" s="281"/>
      <c r="E191" s="281"/>
      <c r="F191" s="281"/>
      <c r="G191" s="281"/>
      <c r="H191" s="281"/>
      <c r="I191" s="281"/>
      <c r="J191" s="281"/>
      <c r="K191" s="281"/>
      <c r="L191" s="281"/>
      <c r="M191" s="264"/>
      <c r="N191" s="293">
        <f t="shared" si="25"/>
        <v>0</v>
      </c>
      <c r="O191" s="293">
        <f t="shared" si="26"/>
        <v>3000000</v>
      </c>
      <c r="P191" s="264"/>
    </row>
    <row r="192" spans="1:16" ht="55.8" x14ac:dyDescent="0.3">
      <c r="A192" s="263" t="s">
        <v>658</v>
      </c>
      <c r="B192" s="264" t="s">
        <v>659</v>
      </c>
      <c r="C192" s="281">
        <v>500000</v>
      </c>
      <c r="D192" s="281"/>
      <c r="E192" s="281"/>
      <c r="F192" s="281"/>
      <c r="G192" s="281"/>
      <c r="H192" s="281"/>
      <c r="I192" s="281"/>
      <c r="J192" s="281"/>
      <c r="K192" s="281"/>
      <c r="L192" s="281"/>
      <c r="M192" s="264"/>
      <c r="N192" s="293">
        <f t="shared" si="25"/>
        <v>0</v>
      </c>
      <c r="O192" s="293">
        <f t="shared" si="26"/>
        <v>500000</v>
      </c>
      <c r="P192" s="264"/>
    </row>
    <row r="193" spans="1:16" ht="28.2" x14ac:dyDescent="0.3">
      <c r="A193" s="263" t="s">
        <v>660</v>
      </c>
      <c r="B193" s="264" t="s">
        <v>661</v>
      </c>
      <c r="C193" s="281">
        <v>3000000</v>
      </c>
      <c r="D193" s="281"/>
      <c r="E193" s="281"/>
      <c r="F193" s="281"/>
      <c r="G193" s="281"/>
      <c r="H193" s="281"/>
      <c r="I193" s="281"/>
      <c r="J193" s="281"/>
      <c r="K193" s="281"/>
      <c r="L193" s="281"/>
      <c r="M193" s="264"/>
      <c r="N193" s="293">
        <f t="shared" si="25"/>
        <v>0</v>
      </c>
      <c r="O193" s="293">
        <f t="shared" si="26"/>
        <v>3000000</v>
      </c>
      <c r="P193" s="264"/>
    </row>
    <row r="194" spans="1:16" ht="28.2" x14ac:dyDescent="0.3">
      <c r="A194" s="259">
        <v>15</v>
      </c>
      <c r="B194" s="260" t="s">
        <v>662</v>
      </c>
      <c r="C194" s="282">
        <f>SUM(C195:C198)</f>
        <v>74600000</v>
      </c>
      <c r="D194" s="282"/>
      <c r="E194" s="282"/>
      <c r="F194" s="282"/>
      <c r="G194" s="282"/>
      <c r="H194" s="282"/>
      <c r="I194" s="282"/>
      <c r="J194" s="282"/>
      <c r="K194" s="282"/>
      <c r="L194" s="282"/>
      <c r="M194" s="277"/>
      <c r="N194" s="297">
        <f>SUM(N195:N198)</f>
        <v>0</v>
      </c>
      <c r="O194" s="297">
        <f t="shared" ref="O194:O200" si="27">SUM(C194-N194)</f>
        <v>74600000</v>
      </c>
      <c r="P194" s="277"/>
    </row>
    <row r="195" spans="1:16" ht="138.6" x14ac:dyDescent="0.3">
      <c r="A195" s="263" t="s">
        <v>663</v>
      </c>
      <c r="B195" s="264" t="s">
        <v>664</v>
      </c>
      <c r="C195" s="281">
        <v>18000000</v>
      </c>
      <c r="D195" s="281"/>
      <c r="E195" s="281"/>
      <c r="F195" s="281"/>
      <c r="G195" s="281"/>
      <c r="H195" s="281"/>
      <c r="I195" s="281"/>
      <c r="J195" s="281"/>
      <c r="K195" s="281"/>
      <c r="L195" s="281"/>
      <c r="M195" s="264"/>
      <c r="N195" s="293">
        <f>SUM(D195:M195)</f>
        <v>0</v>
      </c>
      <c r="O195" s="293">
        <f t="shared" si="27"/>
        <v>18000000</v>
      </c>
      <c r="P195" s="264"/>
    </row>
    <row r="196" spans="1:16" ht="97.2" x14ac:dyDescent="0.3">
      <c r="A196" s="263" t="s">
        <v>665</v>
      </c>
      <c r="B196" s="264" t="s">
        <v>353</v>
      </c>
      <c r="C196" s="281">
        <v>20000000</v>
      </c>
      <c r="D196" s="281"/>
      <c r="E196" s="281"/>
      <c r="F196" s="281"/>
      <c r="G196" s="281"/>
      <c r="H196" s="281"/>
      <c r="I196" s="281"/>
      <c r="J196" s="281"/>
      <c r="K196" s="281"/>
      <c r="L196" s="281"/>
      <c r="M196" s="264"/>
      <c r="N196" s="293">
        <f>SUM(D196:M196)</f>
        <v>0</v>
      </c>
      <c r="O196" s="293">
        <f t="shared" si="27"/>
        <v>20000000</v>
      </c>
      <c r="P196" s="264"/>
    </row>
    <row r="197" spans="1:16" ht="69.599999999999994" x14ac:dyDescent="0.3">
      <c r="A197" s="263" t="s">
        <v>666</v>
      </c>
      <c r="B197" s="264" t="s">
        <v>354</v>
      </c>
      <c r="C197" s="281">
        <v>25000000</v>
      </c>
      <c r="D197" s="281"/>
      <c r="E197" s="281"/>
      <c r="F197" s="281"/>
      <c r="G197" s="281"/>
      <c r="H197" s="281"/>
      <c r="I197" s="281"/>
      <c r="J197" s="281"/>
      <c r="K197" s="281"/>
      <c r="L197" s="281"/>
      <c r="M197" s="264"/>
      <c r="N197" s="293">
        <f>SUM(D197:M197)</f>
        <v>0</v>
      </c>
      <c r="O197" s="293">
        <f t="shared" si="27"/>
        <v>25000000</v>
      </c>
      <c r="P197" s="264"/>
    </row>
    <row r="198" spans="1:16" ht="28.2" x14ac:dyDescent="0.3">
      <c r="A198" s="263" t="s">
        <v>667</v>
      </c>
      <c r="B198" s="264" t="s">
        <v>668</v>
      </c>
      <c r="C198" s="281">
        <v>11600000</v>
      </c>
      <c r="D198" s="281"/>
      <c r="E198" s="281"/>
      <c r="F198" s="281"/>
      <c r="G198" s="281"/>
      <c r="H198" s="281"/>
      <c r="I198" s="281"/>
      <c r="J198" s="281"/>
      <c r="K198" s="281"/>
      <c r="L198" s="281"/>
      <c r="M198" s="264"/>
      <c r="N198" s="293">
        <f>SUM(D198:M198)</f>
        <v>0</v>
      </c>
      <c r="O198" s="293">
        <f t="shared" si="27"/>
        <v>11600000</v>
      </c>
      <c r="P198" s="264"/>
    </row>
    <row r="199" spans="1:16" x14ac:dyDescent="0.3">
      <c r="A199" s="259">
        <v>16</v>
      </c>
      <c r="B199" s="260" t="s">
        <v>669</v>
      </c>
      <c r="C199" s="282">
        <f>SUM(C200:C206)</f>
        <v>146400000</v>
      </c>
      <c r="D199" s="282"/>
      <c r="E199" s="282"/>
      <c r="F199" s="282"/>
      <c r="G199" s="282"/>
      <c r="H199" s="282"/>
      <c r="I199" s="282"/>
      <c r="J199" s="282"/>
      <c r="K199" s="282"/>
      <c r="L199" s="282"/>
      <c r="M199" s="277"/>
      <c r="N199" s="282">
        <f>SUM(N200:N206)</f>
        <v>4990600</v>
      </c>
      <c r="O199" s="282">
        <f t="shared" si="27"/>
        <v>141409400</v>
      </c>
      <c r="P199" s="277"/>
    </row>
    <row r="200" spans="1:16" ht="28.2" x14ac:dyDescent="0.3">
      <c r="A200" s="263" t="s">
        <v>670</v>
      </c>
      <c r="B200" s="264" t="s">
        <v>355</v>
      </c>
      <c r="C200" s="281">
        <v>50000000</v>
      </c>
      <c r="D200" s="281"/>
      <c r="E200" s="281"/>
      <c r="F200" s="281"/>
      <c r="G200" s="281"/>
      <c r="H200" s="281"/>
      <c r="I200" s="281"/>
      <c r="J200" s="281"/>
      <c r="K200" s="281"/>
      <c r="L200" s="281"/>
      <c r="M200" s="264"/>
      <c r="N200" s="293">
        <f>SUM(D200:M200)</f>
        <v>0</v>
      </c>
      <c r="O200" s="293">
        <f t="shared" si="27"/>
        <v>50000000</v>
      </c>
      <c r="P200" s="264"/>
    </row>
    <row r="201" spans="1:16" ht="28.2" x14ac:dyDescent="0.3">
      <c r="A201" s="263" t="s">
        <v>671</v>
      </c>
      <c r="B201" s="264" t="s">
        <v>356</v>
      </c>
      <c r="C201" s="281">
        <v>30000000</v>
      </c>
      <c r="D201" s="281"/>
      <c r="E201" s="281"/>
      <c r="F201" s="281"/>
      <c r="G201" s="281"/>
      <c r="H201" s="281"/>
      <c r="I201" s="281"/>
      <c r="J201" s="281"/>
      <c r="K201" s="281"/>
      <c r="L201" s="281"/>
      <c r="M201" s="264"/>
      <c r="N201" s="293">
        <f t="shared" ref="N201:N206" si="28">SUM(D201:M201)</f>
        <v>0</v>
      </c>
      <c r="O201" s="293">
        <f t="shared" ref="O201:O206" si="29">SUM(C201-N201)</f>
        <v>30000000</v>
      </c>
      <c r="P201" s="264"/>
    </row>
    <row r="202" spans="1:16" ht="28.2" x14ac:dyDescent="0.3">
      <c r="A202" s="263" t="s">
        <v>672</v>
      </c>
      <c r="B202" s="264" t="s">
        <v>358</v>
      </c>
      <c r="C202" s="281">
        <v>15800000</v>
      </c>
      <c r="D202" s="281">
        <v>4990600</v>
      </c>
      <c r="E202" s="281"/>
      <c r="F202" s="281"/>
      <c r="G202" s="281"/>
      <c r="H202" s="281"/>
      <c r="I202" s="281"/>
      <c r="J202" s="281"/>
      <c r="K202" s="281"/>
      <c r="L202" s="281"/>
      <c r="M202" s="264"/>
      <c r="N202" s="293">
        <f t="shared" si="28"/>
        <v>4990600</v>
      </c>
      <c r="O202" s="293">
        <f t="shared" si="29"/>
        <v>10809400</v>
      </c>
      <c r="P202" s="264"/>
    </row>
    <row r="203" spans="1:16" ht="28.2" x14ac:dyDescent="0.3">
      <c r="A203" s="263" t="s">
        <v>673</v>
      </c>
      <c r="B203" s="264" t="s">
        <v>296</v>
      </c>
      <c r="C203" s="281">
        <v>2100000</v>
      </c>
      <c r="D203" s="281"/>
      <c r="E203" s="281"/>
      <c r="F203" s="281"/>
      <c r="G203" s="281"/>
      <c r="H203" s="281"/>
      <c r="I203" s="281"/>
      <c r="J203" s="281"/>
      <c r="K203" s="281"/>
      <c r="L203" s="281"/>
      <c r="M203" s="264"/>
      <c r="N203" s="293">
        <f t="shared" si="28"/>
        <v>0</v>
      </c>
      <c r="O203" s="293">
        <f t="shared" si="29"/>
        <v>2100000</v>
      </c>
      <c r="P203" s="264"/>
    </row>
    <row r="204" spans="1:16" ht="69.599999999999994" x14ac:dyDescent="0.3">
      <c r="A204" s="263" t="s">
        <v>674</v>
      </c>
      <c r="B204" s="264" t="s">
        <v>359</v>
      </c>
      <c r="C204" s="281">
        <v>13500000</v>
      </c>
      <c r="D204" s="281"/>
      <c r="E204" s="281"/>
      <c r="F204" s="281"/>
      <c r="G204" s="281"/>
      <c r="H204" s="281"/>
      <c r="I204" s="281"/>
      <c r="J204" s="281"/>
      <c r="K204" s="281"/>
      <c r="L204" s="281"/>
      <c r="M204" s="264"/>
      <c r="N204" s="293">
        <f t="shared" si="28"/>
        <v>0</v>
      </c>
      <c r="O204" s="293">
        <f t="shared" si="29"/>
        <v>13500000</v>
      </c>
      <c r="P204" s="264"/>
    </row>
    <row r="205" spans="1:16" ht="55.8" x14ac:dyDescent="0.3">
      <c r="A205" s="263" t="s">
        <v>675</v>
      </c>
      <c r="B205" s="264" t="s">
        <v>360</v>
      </c>
      <c r="C205" s="281">
        <v>20000000</v>
      </c>
      <c r="D205" s="281"/>
      <c r="E205" s="281"/>
      <c r="F205" s="281"/>
      <c r="G205" s="281"/>
      <c r="H205" s="281"/>
      <c r="I205" s="281"/>
      <c r="J205" s="281"/>
      <c r="K205" s="281"/>
      <c r="L205" s="281"/>
      <c r="M205" s="264"/>
      <c r="N205" s="293">
        <f t="shared" si="28"/>
        <v>0</v>
      </c>
      <c r="O205" s="293">
        <f t="shared" si="29"/>
        <v>20000000</v>
      </c>
      <c r="P205" s="264"/>
    </row>
    <row r="206" spans="1:16" ht="28.2" x14ac:dyDescent="0.3">
      <c r="A206" s="263" t="s">
        <v>676</v>
      </c>
      <c r="B206" s="264" t="s">
        <v>677</v>
      </c>
      <c r="C206" s="281">
        <v>15000000</v>
      </c>
      <c r="D206" s="281"/>
      <c r="E206" s="281"/>
      <c r="F206" s="281"/>
      <c r="G206" s="281"/>
      <c r="H206" s="281"/>
      <c r="I206" s="281"/>
      <c r="J206" s="281"/>
      <c r="K206" s="281"/>
      <c r="L206" s="281"/>
      <c r="M206" s="264"/>
      <c r="N206" s="293">
        <f t="shared" si="28"/>
        <v>0</v>
      </c>
      <c r="O206" s="293">
        <f t="shared" si="29"/>
        <v>15000000</v>
      </c>
      <c r="P206" s="264"/>
    </row>
    <row r="207" spans="1:16" x14ac:dyDescent="0.3">
      <c r="A207" s="259">
        <v>17</v>
      </c>
      <c r="B207" s="260" t="s">
        <v>678</v>
      </c>
      <c r="C207" s="282">
        <f>SUM(C208:C213)</f>
        <v>291400000</v>
      </c>
      <c r="D207" s="282"/>
      <c r="E207" s="282"/>
      <c r="F207" s="282"/>
      <c r="G207" s="282"/>
      <c r="H207" s="282"/>
      <c r="I207" s="282"/>
      <c r="J207" s="282"/>
      <c r="K207" s="282"/>
      <c r="L207" s="282"/>
      <c r="M207" s="277"/>
      <c r="N207" s="282">
        <f>SUM(N208:N213)</f>
        <v>14425000</v>
      </c>
      <c r="O207" s="282">
        <f t="shared" ref="O207:O215" si="30">SUM(C207-N207)</f>
        <v>276975000</v>
      </c>
      <c r="P207" s="277"/>
    </row>
    <row r="208" spans="1:16" x14ac:dyDescent="0.3">
      <c r="A208" s="263" t="s">
        <v>679</v>
      </c>
      <c r="B208" s="264" t="s">
        <v>204</v>
      </c>
      <c r="C208" s="281">
        <v>174000000</v>
      </c>
      <c r="D208" s="281"/>
      <c r="E208" s="281"/>
      <c r="F208" s="281"/>
      <c r="G208" s="281"/>
      <c r="H208" s="281"/>
      <c r="I208" s="281"/>
      <c r="J208" s="281"/>
      <c r="K208" s="281"/>
      <c r="L208" s="281"/>
      <c r="M208" s="264"/>
      <c r="N208" s="293">
        <f t="shared" ref="N208:N213" si="31">SUM(D208:M208)</f>
        <v>0</v>
      </c>
      <c r="O208" s="293">
        <f t="shared" si="30"/>
        <v>174000000</v>
      </c>
      <c r="P208" s="264"/>
    </row>
    <row r="209" spans="1:16" x14ac:dyDescent="0.3">
      <c r="A209" s="263" t="s">
        <v>680</v>
      </c>
      <c r="B209" s="264" t="s">
        <v>681</v>
      </c>
      <c r="C209" s="281">
        <v>27000000</v>
      </c>
      <c r="D209" s="281">
        <v>750000</v>
      </c>
      <c r="E209" s="281"/>
      <c r="F209" s="281"/>
      <c r="G209" s="281"/>
      <c r="H209" s="281"/>
      <c r="I209" s="281"/>
      <c r="J209" s="281"/>
      <c r="K209" s="281"/>
      <c r="L209" s="281"/>
      <c r="M209" s="264"/>
      <c r="N209" s="293">
        <f t="shared" si="31"/>
        <v>750000</v>
      </c>
      <c r="O209" s="293">
        <f t="shared" si="30"/>
        <v>26250000</v>
      </c>
      <c r="P209" s="264"/>
    </row>
    <row r="210" spans="1:16" x14ac:dyDescent="0.3">
      <c r="A210" s="263" t="s">
        <v>682</v>
      </c>
      <c r="B210" s="264" t="s">
        <v>683</v>
      </c>
      <c r="C210" s="281">
        <v>12000000</v>
      </c>
      <c r="D210" s="281"/>
      <c r="E210" s="281"/>
      <c r="F210" s="281"/>
      <c r="G210" s="281"/>
      <c r="H210" s="281"/>
      <c r="I210" s="281"/>
      <c r="J210" s="281"/>
      <c r="K210" s="281"/>
      <c r="L210" s="281"/>
      <c r="M210" s="264"/>
      <c r="N210" s="293">
        <f t="shared" si="31"/>
        <v>0</v>
      </c>
      <c r="O210" s="293">
        <f t="shared" si="30"/>
        <v>12000000</v>
      </c>
      <c r="P210" s="264"/>
    </row>
    <row r="211" spans="1:16" x14ac:dyDescent="0.3">
      <c r="A211" s="263" t="s">
        <v>684</v>
      </c>
      <c r="B211" s="264" t="s">
        <v>205</v>
      </c>
      <c r="C211" s="281">
        <v>40000000</v>
      </c>
      <c r="D211" s="281">
        <v>13675000</v>
      </c>
      <c r="E211" s="281"/>
      <c r="F211" s="281"/>
      <c r="G211" s="281"/>
      <c r="H211" s="281"/>
      <c r="I211" s="281"/>
      <c r="J211" s="281"/>
      <c r="K211" s="281"/>
      <c r="L211" s="281"/>
      <c r="M211" s="264"/>
      <c r="N211" s="293">
        <f t="shared" si="31"/>
        <v>13675000</v>
      </c>
      <c r="O211" s="293">
        <f t="shared" si="30"/>
        <v>26325000</v>
      </c>
      <c r="P211" s="264"/>
    </row>
    <row r="212" spans="1:16" ht="55.8" x14ac:dyDescent="0.3">
      <c r="A212" s="263" t="s">
        <v>685</v>
      </c>
      <c r="B212" s="264" t="s">
        <v>686</v>
      </c>
      <c r="C212" s="281">
        <v>36000000</v>
      </c>
      <c r="D212" s="281"/>
      <c r="E212" s="281"/>
      <c r="F212" s="281"/>
      <c r="G212" s="281"/>
      <c r="H212" s="281"/>
      <c r="I212" s="281"/>
      <c r="J212" s="281"/>
      <c r="K212" s="281"/>
      <c r="L212" s="281"/>
      <c r="M212" s="264"/>
      <c r="N212" s="293">
        <f t="shared" si="31"/>
        <v>0</v>
      </c>
      <c r="O212" s="293">
        <f t="shared" si="30"/>
        <v>36000000</v>
      </c>
      <c r="P212" s="264"/>
    </row>
    <row r="213" spans="1:16" ht="28.2" x14ac:dyDescent="0.3">
      <c r="A213" s="263" t="s">
        <v>687</v>
      </c>
      <c r="B213" s="264" t="s">
        <v>688</v>
      </c>
      <c r="C213" s="281">
        <v>2400000</v>
      </c>
      <c r="D213" s="281"/>
      <c r="E213" s="281"/>
      <c r="F213" s="281"/>
      <c r="G213" s="281"/>
      <c r="H213" s="281"/>
      <c r="I213" s="281"/>
      <c r="J213" s="281"/>
      <c r="K213" s="281"/>
      <c r="L213" s="281"/>
      <c r="M213" s="264"/>
      <c r="N213" s="293">
        <f t="shared" si="31"/>
        <v>0</v>
      </c>
      <c r="O213" s="293">
        <f t="shared" si="30"/>
        <v>2400000</v>
      </c>
      <c r="P213" s="264"/>
    </row>
    <row r="214" spans="1:16" x14ac:dyDescent="0.3">
      <c r="A214" s="260">
        <v>18</v>
      </c>
      <c r="B214" s="260" t="s">
        <v>689</v>
      </c>
      <c r="C214" s="282">
        <f>SUM(C215:C248)</f>
        <v>444537826.53999996</v>
      </c>
      <c r="D214" s="282"/>
      <c r="E214" s="282"/>
      <c r="F214" s="282"/>
      <c r="G214" s="282"/>
      <c r="H214" s="282"/>
      <c r="I214" s="282"/>
      <c r="J214" s="282"/>
      <c r="K214" s="282"/>
      <c r="L214" s="282"/>
      <c r="M214" s="277"/>
      <c r="N214" s="297">
        <f>SUM(N215:N248)</f>
        <v>0</v>
      </c>
      <c r="O214" s="282">
        <f t="shared" si="30"/>
        <v>444537826.53999996</v>
      </c>
      <c r="P214" s="277"/>
    </row>
    <row r="215" spans="1:16" ht="28.2" x14ac:dyDescent="0.3">
      <c r="A215" s="263">
        <v>2150</v>
      </c>
      <c r="B215" s="264" t="s">
        <v>690</v>
      </c>
      <c r="C215" s="281">
        <v>1875000</v>
      </c>
      <c r="D215" s="281"/>
      <c r="E215" s="281"/>
      <c r="F215" s="281"/>
      <c r="G215" s="281"/>
      <c r="H215" s="281"/>
      <c r="I215" s="281"/>
      <c r="J215" s="281"/>
      <c r="K215" s="281"/>
      <c r="L215" s="281"/>
      <c r="M215" s="264"/>
      <c r="N215" s="293">
        <f>SUM(D215:M215)</f>
        <v>0</v>
      </c>
      <c r="O215" s="293">
        <f t="shared" si="30"/>
        <v>1875000</v>
      </c>
      <c r="P215" s="264"/>
    </row>
    <row r="216" spans="1:16" ht="42" x14ac:dyDescent="0.3">
      <c r="A216" s="263">
        <v>2152</v>
      </c>
      <c r="B216" s="264" t="s">
        <v>691</v>
      </c>
      <c r="C216" s="281">
        <v>8162000</v>
      </c>
      <c r="D216" s="281"/>
      <c r="E216" s="281"/>
      <c r="F216" s="281"/>
      <c r="G216" s="281"/>
      <c r="H216" s="281"/>
      <c r="I216" s="281"/>
      <c r="J216" s="281"/>
      <c r="K216" s="281"/>
      <c r="L216" s="281"/>
      <c r="M216" s="264"/>
      <c r="N216" s="293">
        <f t="shared" ref="N216:N248" si="32">SUM(D216:M216)</f>
        <v>0</v>
      </c>
      <c r="O216" s="293">
        <f t="shared" ref="O216:O248" si="33">SUM(C216-N216)</f>
        <v>8162000</v>
      </c>
      <c r="P216" s="264"/>
    </row>
    <row r="217" spans="1:16" ht="69.599999999999994" x14ac:dyDescent="0.3">
      <c r="A217" s="263">
        <v>2156</v>
      </c>
      <c r="B217" s="264" t="s">
        <v>692</v>
      </c>
      <c r="C217" s="281">
        <v>4947750</v>
      </c>
      <c r="D217" s="281"/>
      <c r="E217" s="281"/>
      <c r="F217" s="281"/>
      <c r="G217" s="281"/>
      <c r="H217" s="281"/>
      <c r="I217" s="281"/>
      <c r="J217" s="281"/>
      <c r="K217" s="281"/>
      <c r="L217" s="281"/>
      <c r="M217" s="264"/>
      <c r="N217" s="293">
        <f t="shared" si="32"/>
        <v>0</v>
      </c>
      <c r="O217" s="293">
        <f t="shared" si="33"/>
        <v>4947750</v>
      </c>
      <c r="P217" s="264"/>
    </row>
    <row r="218" spans="1:16" x14ac:dyDescent="0.3">
      <c r="A218" s="263">
        <v>2157</v>
      </c>
      <c r="B218" s="264" t="s">
        <v>312</v>
      </c>
      <c r="C218" s="281">
        <v>7396500</v>
      </c>
      <c r="D218" s="281"/>
      <c r="E218" s="281"/>
      <c r="F218" s="281"/>
      <c r="G218" s="281"/>
      <c r="H218" s="281"/>
      <c r="I218" s="281"/>
      <c r="J218" s="281"/>
      <c r="K218" s="281"/>
      <c r="L218" s="281"/>
      <c r="M218" s="264"/>
      <c r="N218" s="293">
        <f t="shared" si="32"/>
        <v>0</v>
      </c>
      <c r="O218" s="293">
        <f t="shared" si="33"/>
        <v>7396500</v>
      </c>
      <c r="P218" s="264"/>
    </row>
    <row r="219" spans="1:16" ht="28.2" x14ac:dyDescent="0.3">
      <c r="A219" s="263">
        <v>2172</v>
      </c>
      <c r="B219" s="264" t="s">
        <v>693</v>
      </c>
      <c r="C219" s="281">
        <v>5490000</v>
      </c>
      <c r="D219" s="281"/>
      <c r="E219" s="281"/>
      <c r="F219" s="281"/>
      <c r="G219" s="281"/>
      <c r="H219" s="281"/>
      <c r="I219" s="281"/>
      <c r="J219" s="281"/>
      <c r="K219" s="281"/>
      <c r="L219" s="281"/>
      <c r="M219" s="264"/>
      <c r="N219" s="293">
        <f t="shared" si="32"/>
        <v>0</v>
      </c>
      <c r="O219" s="293">
        <f t="shared" si="33"/>
        <v>5490000</v>
      </c>
      <c r="P219" s="264"/>
    </row>
    <row r="220" spans="1:16" ht="55.8" x14ac:dyDescent="0.3">
      <c r="A220" s="263">
        <v>2181</v>
      </c>
      <c r="B220" s="264" t="s">
        <v>694</v>
      </c>
      <c r="C220" s="281">
        <v>10864000</v>
      </c>
      <c r="D220" s="281"/>
      <c r="E220" s="281"/>
      <c r="F220" s="281"/>
      <c r="G220" s="281"/>
      <c r="H220" s="281"/>
      <c r="I220" s="281"/>
      <c r="J220" s="281"/>
      <c r="K220" s="281"/>
      <c r="L220" s="281"/>
      <c r="M220" s="264"/>
      <c r="N220" s="293">
        <f t="shared" si="32"/>
        <v>0</v>
      </c>
      <c r="O220" s="293">
        <f t="shared" si="33"/>
        <v>10864000</v>
      </c>
      <c r="P220" s="264"/>
    </row>
    <row r="221" spans="1:16" ht="69.599999999999994" x14ac:dyDescent="0.3">
      <c r="A221" s="263">
        <v>2182</v>
      </c>
      <c r="B221" s="264" t="s">
        <v>695</v>
      </c>
      <c r="C221" s="281">
        <v>10296000</v>
      </c>
      <c r="D221" s="281"/>
      <c r="E221" s="281"/>
      <c r="F221" s="281"/>
      <c r="G221" s="281"/>
      <c r="H221" s="281"/>
      <c r="I221" s="281"/>
      <c r="J221" s="281"/>
      <c r="K221" s="281"/>
      <c r="L221" s="281"/>
      <c r="M221" s="264"/>
      <c r="N221" s="293">
        <f t="shared" si="32"/>
        <v>0</v>
      </c>
      <c r="O221" s="293">
        <f t="shared" si="33"/>
        <v>10296000</v>
      </c>
      <c r="P221" s="264"/>
    </row>
    <row r="222" spans="1:16" ht="42" x14ac:dyDescent="0.3">
      <c r="A222" s="263">
        <v>2183</v>
      </c>
      <c r="B222" s="264" t="s">
        <v>696</v>
      </c>
      <c r="C222" s="281">
        <v>4885000</v>
      </c>
      <c r="D222" s="281"/>
      <c r="E222" s="281"/>
      <c r="F222" s="281"/>
      <c r="G222" s="281"/>
      <c r="H222" s="281"/>
      <c r="I222" s="281"/>
      <c r="J222" s="281"/>
      <c r="K222" s="281"/>
      <c r="L222" s="281"/>
      <c r="M222" s="264"/>
      <c r="N222" s="293">
        <f t="shared" si="32"/>
        <v>0</v>
      </c>
      <c r="O222" s="293">
        <f t="shared" si="33"/>
        <v>4885000</v>
      </c>
      <c r="P222" s="264"/>
    </row>
    <row r="223" spans="1:16" ht="83.4" x14ac:dyDescent="0.3">
      <c r="A223" s="263">
        <v>2188</v>
      </c>
      <c r="B223" s="264" t="s">
        <v>697</v>
      </c>
      <c r="C223" s="281">
        <v>3500000</v>
      </c>
      <c r="D223" s="281"/>
      <c r="E223" s="281"/>
      <c r="F223" s="281"/>
      <c r="G223" s="281"/>
      <c r="H223" s="281"/>
      <c r="I223" s="281"/>
      <c r="J223" s="281"/>
      <c r="K223" s="281"/>
      <c r="L223" s="281"/>
      <c r="M223" s="264"/>
      <c r="N223" s="293">
        <f t="shared" si="32"/>
        <v>0</v>
      </c>
      <c r="O223" s="293">
        <f t="shared" si="33"/>
        <v>3500000</v>
      </c>
      <c r="P223" s="264"/>
    </row>
    <row r="224" spans="1:16" ht="42" x14ac:dyDescent="0.3">
      <c r="A224" s="263">
        <v>2201</v>
      </c>
      <c r="B224" s="264" t="s">
        <v>698</v>
      </c>
      <c r="C224" s="281">
        <v>853500</v>
      </c>
      <c r="D224" s="281"/>
      <c r="E224" s="281"/>
      <c r="F224" s="281"/>
      <c r="G224" s="281"/>
      <c r="H224" s="281"/>
      <c r="I224" s="281"/>
      <c r="J224" s="281"/>
      <c r="K224" s="281"/>
      <c r="L224" s="281"/>
      <c r="M224" s="264"/>
      <c r="N224" s="293">
        <f t="shared" si="32"/>
        <v>0</v>
      </c>
      <c r="O224" s="293">
        <f t="shared" si="33"/>
        <v>853500</v>
      </c>
      <c r="P224" s="264"/>
    </row>
    <row r="225" spans="1:16" ht="42" x14ac:dyDescent="0.3">
      <c r="A225" s="263">
        <v>2202</v>
      </c>
      <c r="B225" s="264" t="s">
        <v>699</v>
      </c>
      <c r="C225" s="281">
        <v>11520000</v>
      </c>
      <c r="D225" s="281"/>
      <c r="E225" s="281"/>
      <c r="F225" s="281"/>
      <c r="G225" s="281"/>
      <c r="H225" s="281"/>
      <c r="I225" s="281"/>
      <c r="J225" s="281"/>
      <c r="K225" s="281"/>
      <c r="L225" s="281"/>
      <c r="M225" s="264"/>
      <c r="N225" s="293">
        <f t="shared" si="32"/>
        <v>0</v>
      </c>
      <c r="O225" s="293">
        <f t="shared" si="33"/>
        <v>11520000</v>
      </c>
      <c r="P225" s="264"/>
    </row>
    <row r="226" spans="1:16" ht="28.2" x14ac:dyDescent="0.3">
      <c r="A226" s="263">
        <v>2203</v>
      </c>
      <c r="B226" s="264" t="s">
        <v>700</v>
      </c>
      <c r="C226" s="281">
        <v>2882400.0000000005</v>
      </c>
      <c r="D226" s="281"/>
      <c r="E226" s="281"/>
      <c r="F226" s="281"/>
      <c r="G226" s="281"/>
      <c r="H226" s="281"/>
      <c r="I226" s="281"/>
      <c r="J226" s="281"/>
      <c r="K226" s="281"/>
      <c r="L226" s="281"/>
      <c r="M226" s="264"/>
      <c r="N226" s="293">
        <f t="shared" si="32"/>
        <v>0</v>
      </c>
      <c r="O226" s="293">
        <f t="shared" si="33"/>
        <v>2882400.0000000005</v>
      </c>
      <c r="P226" s="264"/>
    </row>
    <row r="227" spans="1:16" ht="42" x14ac:dyDescent="0.3">
      <c r="A227" s="263">
        <v>2206</v>
      </c>
      <c r="B227" s="264" t="s">
        <v>701</v>
      </c>
      <c r="C227" s="281">
        <v>3000000</v>
      </c>
      <c r="D227" s="281"/>
      <c r="E227" s="281"/>
      <c r="F227" s="281"/>
      <c r="G227" s="281"/>
      <c r="H227" s="281"/>
      <c r="I227" s="281"/>
      <c r="J227" s="281"/>
      <c r="K227" s="281"/>
      <c r="L227" s="281"/>
      <c r="M227" s="264"/>
      <c r="N227" s="293">
        <f t="shared" si="32"/>
        <v>0</v>
      </c>
      <c r="O227" s="293">
        <f t="shared" si="33"/>
        <v>3000000</v>
      </c>
      <c r="P227" s="264"/>
    </row>
    <row r="228" spans="1:16" ht="42" x14ac:dyDescent="0.3">
      <c r="A228" s="263">
        <v>2207</v>
      </c>
      <c r="B228" s="264" t="s">
        <v>702</v>
      </c>
      <c r="C228" s="281">
        <v>5900500</v>
      </c>
      <c r="D228" s="281"/>
      <c r="E228" s="281"/>
      <c r="F228" s="281"/>
      <c r="G228" s="281"/>
      <c r="H228" s="281"/>
      <c r="I228" s="281"/>
      <c r="J228" s="281"/>
      <c r="K228" s="281"/>
      <c r="L228" s="281"/>
      <c r="M228" s="264"/>
      <c r="N228" s="293">
        <f t="shared" si="32"/>
        <v>0</v>
      </c>
      <c r="O228" s="293">
        <f t="shared" si="33"/>
        <v>5900500</v>
      </c>
      <c r="P228" s="264"/>
    </row>
    <row r="229" spans="1:16" ht="69.599999999999994" x14ac:dyDescent="0.3">
      <c r="A229" s="263">
        <v>2208</v>
      </c>
      <c r="B229" s="264" t="s">
        <v>703</v>
      </c>
      <c r="C229" s="281">
        <v>8133500</v>
      </c>
      <c r="D229" s="281"/>
      <c r="E229" s="281"/>
      <c r="F229" s="281"/>
      <c r="G229" s="281"/>
      <c r="H229" s="281"/>
      <c r="I229" s="281"/>
      <c r="J229" s="281"/>
      <c r="K229" s="281"/>
      <c r="L229" s="281"/>
      <c r="M229" s="264"/>
      <c r="N229" s="293">
        <f t="shared" si="32"/>
        <v>0</v>
      </c>
      <c r="O229" s="293">
        <f t="shared" si="33"/>
        <v>8133500</v>
      </c>
      <c r="P229" s="264"/>
    </row>
    <row r="230" spans="1:16" ht="97.2" x14ac:dyDescent="0.3">
      <c r="A230" s="263">
        <v>2211</v>
      </c>
      <c r="B230" s="264" t="s">
        <v>704</v>
      </c>
      <c r="C230" s="281">
        <v>2100000</v>
      </c>
      <c r="D230" s="281"/>
      <c r="E230" s="281"/>
      <c r="F230" s="281"/>
      <c r="G230" s="281"/>
      <c r="H230" s="281"/>
      <c r="I230" s="281"/>
      <c r="J230" s="281"/>
      <c r="K230" s="281"/>
      <c r="L230" s="281"/>
      <c r="M230" s="264"/>
      <c r="N230" s="293">
        <f t="shared" si="32"/>
        <v>0</v>
      </c>
      <c r="O230" s="293">
        <f t="shared" si="33"/>
        <v>2100000</v>
      </c>
      <c r="P230" s="264"/>
    </row>
    <row r="231" spans="1:16" ht="138.6" x14ac:dyDescent="0.3">
      <c r="A231" s="263">
        <v>2212</v>
      </c>
      <c r="B231" s="264" t="s">
        <v>705</v>
      </c>
      <c r="C231" s="281">
        <v>5900500</v>
      </c>
      <c r="D231" s="281"/>
      <c r="E231" s="281"/>
      <c r="F231" s="281"/>
      <c r="G231" s="281"/>
      <c r="H231" s="281"/>
      <c r="I231" s="281"/>
      <c r="J231" s="281"/>
      <c r="K231" s="281"/>
      <c r="L231" s="281"/>
      <c r="M231" s="264"/>
      <c r="N231" s="293">
        <f t="shared" si="32"/>
        <v>0</v>
      </c>
      <c r="O231" s="293">
        <f t="shared" si="33"/>
        <v>5900500</v>
      </c>
      <c r="P231" s="264"/>
    </row>
    <row r="232" spans="1:16" ht="28.2" x14ac:dyDescent="0.3">
      <c r="A232" s="263">
        <v>2215</v>
      </c>
      <c r="B232" s="264" t="s">
        <v>706</v>
      </c>
      <c r="C232" s="281">
        <v>2000000</v>
      </c>
      <c r="D232" s="281"/>
      <c r="E232" s="281"/>
      <c r="F232" s="281"/>
      <c r="G232" s="281"/>
      <c r="H232" s="281"/>
      <c r="I232" s="281"/>
      <c r="J232" s="281"/>
      <c r="K232" s="281"/>
      <c r="L232" s="281"/>
      <c r="M232" s="264"/>
      <c r="N232" s="293">
        <f t="shared" si="32"/>
        <v>0</v>
      </c>
      <c r="O232" s="293">
        <f t="shared" si="33"/>
        <v>2000000</v>
      </c>
      <c r="P232" s="264"/>
    </row>
    <row r="233" spans="1:16" ht="42" x14ac:dyDescent="0.3">
      <c r="A233" s="263">
        <v>2217</v>
      </c>
      <c r="B233" s="264" t="s">
        <v>707</v>
      </c>
      <c r="C233" s="281">
        <v>13784250</v>
      </c>
      <c r="D233" s="281"/>
      <c r="E233" s="281"/>
      <c r="F233" s="281"/>
      <c r="G233" s="281"/>
      <c r="H233" s="281"/>
      <c r="I233" s="281"/>
      <c r="J233" s="281"/>
      <c r="K233" s="281"/>
      <c r="L233" s="281"/>
      <c r="M233" s="264"/>
      <c r="N233" s="293">
        <f t="shared" si="32"/>
        <v>0</v>
      </c>
      <c r="O233" s="293">
        <f t="shared" si="33"/>
        <v>13784250</v>
      </c>
      <c r="P233" s="264"/>
    </row>
    <row r="234" spans="1:16" ht="42" x14ac:dyDescent="0.3">
      <c r="A234" s="263">
        <v>2221</v>
      </c>
      <c r="B234" s="264" t="s">
        <v>708</v>
      </c>
      <c r="C234" s="281">
        <v>2770000</v>
      </c>
      <c r="D234" s="281"/>
      <c r="E234" s="281"/>
      <c r="F234" s="281"/>
      <c r="G234" s="281"/>
      <c r="H234" s="281"/>
      <c r="I234" s="281"/>
      <c r="J234" s="281"/>
      <c r="K234" s="281"/>
      <c r="L234" s="281"/>
      <c r="M234" s="264"/>
      <c r="N234" s="293">
        <f t="shared" si="32"/>
        <v>0</v>
      </c>
      <c r="O234" s="293">
        <f t="shared" si="33"/>
        <v>2770000</v>
      </c>
      <c r="P234" s="264"/>
    </row>
    <row r="235" spans="1:16" ht="42" x14ac:dyDescent="0.3">
      <c r="A235" s="263">
        <v>2295</v>
      </c>
      <c r="B235" s="264" t="s">
        <v>709</v>
      </c>
      <c r="C235" s="281">
        <v>2100000</v>
      </c>
      <c r="D235" s="281"/>
      <c r="E235" s="281"/>
      <c r="F235" s="281"/>
      <c r="G235" s="281"/>
      <c r="H235" s="281"/>
      <c r="I235" s="281"/>
      <c r="J235" s="281"/>
      <c r="K235" s="281"/>
      <c r="L235" s="281"/>
      <c r="M235" s="264"/>
      <c r="N235" s="293">
        <f t="shared" si="32"/>
        <v>0</v>
      </c>
      <c r="O235" s="293">
        <f t="shared" si="33"/>
        <v>2100000</v>
      </c>
      <c r="P235" s="264"/>
    </row>
    <row r="236" spans="1:16" ht="55.8" x14ac:dyDescent="0.3">
      <c r="A236" s="263">
        <v>2296</v>
      </c>
      <c r="B236" s="264" t="s">
        <v>710</v>
      </c>
      <c r="C236" s="281">
        <v>3090500</v>
      </c>
      <c r="D236" s="281"/>
      <c r="E236" s="281"/>
      <c r="F236" s="281"/>
      <c r="G236" s="281"/>
      <c r="H236" s="281"/>
      <c r="I236" s="281"/>
      <c r="J236" s="281"/>
      <c r="K236" s="281"/>
      <c r="L236" s="281"/>
      <c r="M236" s="264"/>
      <c r="N236" s="293">
        <f t="shared" si="32"/>
        <v>0</v>
      </c>
      <c r="O236" s="293">
        <f t="shared" si="33"/>
        <v>3090500</v>
      </c>
      <c r="P236" s="264"/>
    </row>
    <row r="237" spans="1:16" ht="28.2" x14ac:dyDescent="0.3">
      <c r="A237" s="263">
        <v>2300</v>
      </c>
      <c r="B237" s="264" t="s">
        <v>711</v>
      </c>
      <c r="C237" s="281">
        <v>8220000</v>
      </c>
      <c r="D237" s="281"/>
      <c r="E237" s="281"/>
      <c r="F237" s="281"/>
      <c r="G237" s="281"/>
      <c r="H237" s="281"/>
      <c r="I237" s="281"/>
      <c r="J237" s="281"/>
      <c r="K237" s="281"/>
      <c r="L237" s="281"/>
      <c r="M237" s="264"/>
      <c r="N237" s="293">
        <f t="shared" si="32"/>
        <v>0</v>
      </c>
      <c r="O237" s="293">
        <f t="shared" si="33"/>
        <v>8220000</v>
      </c>
      <c r="P237" s="264"/>
    </row>
    <row r="238" spans="1:16" ht="55.8" x14ac:dyDescent="0.3">
      <c r="A238" s="263">
        <v>2320</v>
      </c>
      <c r="B238" s="264" t="s">
        <v>712</v>
      </c>
      <c r="C238" s="281">
        <v>4500000</v>
      </c>
      <c r="D238" s="281"/>
      <c r="E238" s="281"/>
      <c r="F238" s="281"/>
      <c r="G238" s="281"/>
      <c r="H238" s="281"/>
      <c r="I238" s="281"/>
      <c r="J238" s="281"/>
      <c r="K238" s="281"/>
      <c r="L238" s="281"/>
      <c r="M238" s="264"/>
      <c r="N238" s="293">
        <f t="shared" si="32"/>
        <v>0</v>
      </c>
      <c r="O238" s="293">
        <f t="shared" si="33"/>
        <v>4500000</v>
      </c>
      <c r="P238" s="264"/>
    </row>
    <row r="239" spans="1:16" ht="28.2" x14ac:dyDescent="0.3">
      <c r="A239" s="263">
        <v>2321</v>
      </c>
      <c r="B239" s="264" t="s">
        <v>713</v>
      </c>
      <c r="C239" s="281">
        <v>4375000</v>
      </c>
      <c r="D239" s="281"/>
      <c r="E239" s="281"/>
      <c r="F239" s="281"/>
      <c r="G239" s="281"/>
      <c r="H239" s="281"/>
      <c r="I239" s="281"/>
      <c r="J239" s="281"/>
      <c r="K239" s="281"/>
      <c r="L239" s="281"/>
      <c r="M239" s="264"/>
      <c r="N239" s="293">
        <f t="shared" si="32"/>
        <v>0</v>
      </c>
      <c r="O239" s="293">
        <f t="shared" si="33"/>
        <v>4375000</v>
      </c>
      <c r="P239" s="264"/>
    </row>
    <row r="240" spans="1:16" ht="42" x14ac:dyDescent="0.3">
      <c r="A240" s="263">
        <v>2346</v>
      </c>
      <c r="B240" s="264" t="s">
        <v>714</v>
      </c>
      <c r="C240" s="281">
        <v>2770000</v>
      </c>
      <c r="D240" s="281"/>
      <c r="E240" s="281"/>
      <c r="F240" s="281"/>
      <c r="G240" s="281"/>
      <c r="H240" s="281"/>
      <c r="I240" s="281"/>
      <c r="J240" s="281"/>
      <c r="K240" s="281"/>
      <c r="L240" s="281"/>
      <c r="M240" s="264"/>
      <c r="N240" s="293">
        <f t="shared" si="32"/>
        <v>0</v>
      </c>
      <c r="O240" s="293">
        <f t="shared" si="33"/>
        <v>2770000</v>
      </c>
      <c r="P240" s="264"/>
    </row>
    <row r="241" spans="1:16" ht="28.2" x14ac:dyDescent="0.3">
      <c r="A241" s="263">
        <v>4084</v>
      </c>
      <c r="B241" s="264" t="s">
        <v>715</v>
      </c>
      <c r="C241" s="281">
        <v>4580034.540000001</v>
      </c>
      <c r="D241" s="281"/>
      <c r="E241" s="281"/>
      <c r="F241" s="281"/>
      <c r="G241" s="281"/>
      <c r="H241" s="281"/>
      <c r="I241" s="281"/>
      <c r="J241" s="281"/>
      <c r="K241" s="281"/>
      <c r="L241" s="281"/>
      <c r="M241" s="264"/>
      <c r="N241" s="293">
        <f t="shared" si="32"/>
        <v>0</v>
      </c>
      <c r="O241" s="293">
        <f t="shared" si="33"/>
        <v>4580034.540000001</v>
      </c>
      <c r="P241" s="264"/>
    </row>
    <row r="242" spans="1:16" x14ac:dyDescent="0.3">
      <c r="A242" s="263">
        <v>4085</v>
      </c>
      <c r="B242" s="264" t="s">
        <v>716</v>
      </c>
      <c r="C242" s="281">
        <v>2699999.9999999995</v>
      </c>
      <c r="D242" s="281"/>
      <c r="E242" s="281"/>
      <c r="F242" s="281"/>
      <c r="G242" s="281"/>
      <c r="H242" s="281"/>
      <c r="I242" s="281"/>
      <c r="J242" s="281"/>
      <c r="K242" s="281"/>
      <c r="L242" s="281"/>
      <c r="M242" s="264"/>
      <c r="N242" s="293">
        <f t="shared" si="32"/>
        <v>0</v>
      </c>
      <c r="O242" s="293">
        <f t="shared" si="33"/>
        <v>2699999.9999999995</v>
      </c>
      <c r="P242" s="264"/>
    </row>
    <row r="243" spans="1:16" ht="28.2" x14ac:dyDescent="0.3">
      <c r="A243" s="263">
        <v>4086</v>
      </c>
      <c r="B243" s="264" t="s">
        <v>717</v>
      </c>
      <c r="C243" s="281">
        <v>3029642</v>
      </c>
      <c r="D243" s="281"/>
      <c r="E243" s="281"/>
      <c r="F243" s="281"/>
      <c r="G243" s="281"/>
      <c r="H243" s="281"/>
      <c r="I243" s="281"/>
      <c r="J243" s="281"/>
      <c r="K243" s="281"/>
      <c r="L243" s="281"/>
      <c r="M243" s="264"/>
      <c r="N243" s="293">
        <f t="shared" si="32"/>
        <v>0</v>
      </c>
      <c r="O243" s="293">
        <f t="shared" si="33"/>
        <v>3029642</v>
      </c>
      <c r="P243" s="264"/>
    </row>
    <row r="244" spans="1:16" ht="42" x14ac:dyDescent="0.3">
      <c r="A244" s="263">
        <v>4279</v>
      </c>
      <c r="B244" s="264" t="s">
        <v>718</v>
      </c>
      <c r="C244" s="281">
        <v>27359999.999999996</v>
      </c>
      <c r="D244" s="281"/>
      <c r="E244" s="281"/>
      <c r="F244" s="281"/>
      <c r="G244" s="281"/>
      <c r="H244" s="281"/>
      <c r="I244" s="281"/>
      <c r="J244" s="281"/>
      <c r="K244" s="281"/>
      <c r="L244" s="281"/>
      <c r="M244" s="264"/>
      <c r="N244" s="293">
        <f t="shared" si="32"/>
        <v>0</v>
      </c>
      <c r="O244" s="293">
        <f t="shared" si="33"/>
        <v>27359999.999999996</v>
      </c>
      <c r="P244" s="264"/>
    </row>
    <row r="245" spans="1:16" ht="42" x14ac:dyDescent="0.3">
      <c r="A245" s="263">
        <v>4286</v>
      </c>
      <c r="B245" s="264" t="s">
        <v>719</v>
      </c>
      <c r="C245" s="281">
        <v>7251750</v>
      </c>
      <c r="D245" s="281"/>
      <c r="E245" s="281"/>
      <c r="F245" s="281"/>
      <c r="G245" s="281"/>
      <c r="H245" s="281"/>
      <c r="I245" s="281"/>
      <c r="J245" s="281"/>
      <c r="K245" s="281"/>
      <c r="L245" s="281"/>
      <c r="M245" s="264"/>
      <c r="N245" s="293">
        <f t="shared" si="32"/>
        <v>0</v>
      </c>
      <c r="O245" s="293">
        <f t="shared" si="33"/>
        <v>7251750</v>
      </c>
      <c r="P245" s="264"/>
    </row>
    <row r="246" spans="1:16" ht="152.4" x14ac:dyDescent="0.3">
      <c r="A246" s="263">
        <v>4427</v>
      </c>
      <c r="B246" s="264" t="s">
        <v>720</v>
      </c>
      <c r="C246" s="281">
        <v>148500000</v>
      </c>
      <c r="D246" s="281"/>
      <c r="E246" s="281"/>
      <c r="F246" s="281"/>
      <c r="G246" s="281"/>
      <c r="H246" s="281"/>
      <c r="I246" s="281"/>
      <c r="J246" s="281"/>
      <c r="K246" s="281"/>
      <c r="L246" s="281"/>
      <c r="M246" s="264"/>
      <c r="N246" s="293">
        <f t="shared" si="32"/>
        <v>0</v>
      </c>
      <c r="O246" s="293">
        <f t="shared" si="33"/>
        <v>148500000</v>
      </c>
      <c r="P246" s="264"/>
    </row>
    <row r="247" spans="1:16" ht="42" x14ac:dyDescent="0.3">
      <c r="A247" s="263">
        <v>4436</v>
      </c>
      <c r="B247" s="264" t="s">
        <v>721</v>
      </c>
      <c r="C247" s="281">
        <v>105300000</v>
      </c>
      <c r="D247" s="281"/>
      <c r="E247" s="281"/>
      <c r="F247" s="281"/>
      <c r="G247" s="281"/>
      <c r="H247" s="281"/>
      <c r="I247" s="281"/>
      <c r="J247" s="281"/>
      <c r="K247" s="281"/>
      <c r="L247" s="281"/>
      <c r="M247" s="264"/>
      <c r="N247" s="293">
        <f t="shared" si="32"/>
        <v>0</v>
      </c>
      <c r="O247" s="293">
        <f t="shared" si="33"/>
        <v>105300000</v>
      </c>
      <c r="P247" s="264"/>
    </row>
    <row r="248" spans="1:16" x14ac:dyDescent="0.3">
      <c r="A248" s="263">
        <v>4444</v>
      </c>
      <c r="B248" s="264" t="s">
        <v>722</v>
      </c>
      <c r="C248" s="281">
        <v>4500000</v>
      </c>
      <c r="D248" s="281"/>
      <c r="E248" s="281"/>
      <c r="F248" s="281"/>
      <c r="G248" s="281"/>
      <c r="H248" s="281"/>
      <c r="I248" s="281"/>
      <c r="J248" s="281"/>
      <c r="K248" s="281"/>
      <c r="L248" s="281"/>
      <c r="M248" s="264"/>
      <c r="N248" s="293">
        <f t="shared" si="32"/>
        <v>0</v>
      </c>
      <c r="O248" s="293">
        <f t="shared" si="33"/>
        <v>4500000</v>
      </c>
      <c r="P248" s="264"/>
    </row>
    <row r="249" spans="1:16" x14ac:dyDescent="0.3">
      <c r="A249" s="283"/>
      <c r="B249" s="284"/>
      <c r="C249" s="285">
        <f>SUM(C4,C52,C64,C71,C78,C83,C118,C125,C137,C142,C148,C160,C162,C183,C194,C199,C207,C214)</f>
        <v>9321762249.8429985</v>
      </c>
      <c r="D249" s="285"/>
      <c r="E249" s="285"/>
      <c r="F249" s="285"/>
      <c r="G249" s="285"/>
      <c r="H249" s="285"/>
      <c r="I249" s="285"/>
      <c r="J249" s="285"/>
      <c r="K249" s="285"/>
      <c r="L249" s="285"/>
      <c r="M249" s="286"/>
      <c r="N249" s="303">
        <f>SUM(N4,N52,N64,N71,N78,N83,N118,N125,N137,N142,N148,N160,N162,N183,N194,N199,N207,N214)</f>
        <v>228585865</v>
      </c>
      <c r="O249" s="303">
        <f>SUM(O4,O52,O64,O71,O78,O83,O118,O125,O137,O142,O148,O160,O162,O183,O194,O199,O207,O214)</f>
        <v>9093176384.8429985</v>
      </c>
      <c r="P249" s="286"/>
    </row>
    <row r="250" spans="1:16" x14ac:dyDescent="0.3">
      <c r="O250" s="302"/>
    </row>
  </sheetData>
  <mergeCells count="4">
    <mergeCell ref="A84:B84"/>
    <mergeCell ref="D2:M2"/>
    <mergeCell ref="D3:G3"/>
    <mergeCell ref="H3:K3"/>
  </mergeCells>
  <conditionalFormatting sqref="B2:B3">
    <cfRule type="duplicateValues" dxfId="32" priority="118"/>
  </conditionalFormatting>
  <conditionalFormatting sqref="B68">
    <cfRule type="duplicateValues" dxfId="31" priority="6"/>
  </conditionalFormatting>
  <conditionalFormatting sqref="B104">
    <cfRule type="duplicateValues" dxfId="30" priority="25"/>
  </conditionalFormatting>
  <conditionalFormatting sqref="B105">
    <cfRule type="duplicateValues" dxfId="29" priority="24"/>
  </conditionalFormatting>
  <conditionalFormatting sqref="B106">
    <cfRule type="duplicateValues" dxfId="28" priority="23"/>
  </conditionalFormatting>
  <conditionalFormatting sqref="B107:B116">
    <cfRule type="duplicateValues" dxfId="27" priority="30"/>
  </conditionalFormatting>
  <conditionalFormatting sqref="B117">
    <cfRule type="duplicateValues" dxfId="26" priority="1"/>
  </conditionalFormatting>
  <conditionalFormatting sqref="B119">
    <cfRule type="duplicateValues" dxfId="25" priority="21"/>
    <cfRule type="duplicateValues" dxfId="24" priority="22"/>
  </conditionalFormatting>
  <conditionalFormatting sqref="B120:B121 B123:B124">
    <cfRule type="duplicateValues" dxfId="23" priority="19"/>
  </conditionalFormatting>
  <conditionalFormatting sqref="B120:B121">
    <cfRule type="duplicateValues" dxfId="22" priority="20"/>
  </conditionalFormatting>
  <conditionalFormatting sqref="B122">
    <cfRule type="duplicateValues" dxfId="21" priority="2"/>
    <cfRule type="duplicateValues" dxfId="20" priority="3"/>
  </conditionalFormatting>
  <conditionalFormatting sqref="B128">
    <cfRule type="duplicateValues" dxfId="19" priority="8"/>
  </conditionalFormatting>
  <conditionalFormatting sqref="B129:B133 B126:B127 B135">
    <cfRule type="duplicateValues" dxfId="18" priority="9"/>
  </conditionalFormatting>
  <conditionalFormatting sqref="B134">
    <cfRule type="duplicateValues" dxfId="17" priority="7"/>
  </conditionalFormatting>
  <conditionalFormatting sqref="B138 B140:B141">
    <cfRule type="duplicateValues" dxfId="16" priority="16"/>
  </conditionalFormatting>
  <conditionalFormatting sqref="B139">
    <cfRule type="duplicateValues" dxfId="15" priority="15"/>
  </conditionalFormatting>
  <conditionalFormatting sqref="B143:B147">
    <cfRule type="duplicateValues" dxfId="14" priority="14"/>
  </conditionalFormatting>
  <conditionalFormatting sqref="B149">
    <cfRule type="duplicateValues" dxfId="13" priority="13"/>
  </conditionalFormatting>
  <conditionalFormatting sqref="B153">
    <cfRule type="duplicateValues" dxfId="12" priority="12"/>
  </conditionalFormatting>
  <conditionalFormatting sqref="B154">
    <cfRule type="duplicateValues" dxfId="11" priority="29"/>
  </conditionalFormatting>
  <conditionalFormatting sqref="B155:B156">
    <cfRule type="duplicateValues" dxfId="10" priority="11"/>
  </conditionalFormatting>
  <conditionalFormatting sqref="B157:B159 B150:B152">
    <cfRule type="duplicateValues" dxfId="9" priority="28"/>
  </conditionalFormatting>
  <conditionalFormatting sqref="B161">
    <cfRule type="duplicateValues" dxfId="8" priority="10"/>
  </conditionalFormatting>
  <conditionalFormatting sqref="B179">
    <cfRule type="duplicateValues" dxfId="7" priority="18"/>
  </conditionalFormatting>
  <conditionalFormatting sqref="B180:B181 B163:B178">
    <cfRule type="duplicateValues" dxfId="6" priority="31"/>
  </conditionalFormatting>
  <conditionalFormatting sqref="B184:B193">
    <cfRule type="duplicateValues" dxfId="5" priority="17"/>
  </conditionalFormatting>
  <conditionalFormatting sqref="B195:B198">
    <cfRule type="duplicateValues" dxfId="4" priority="26"/>
  </conditionalFormatting>
  <conditionalFormatting sqref="B204">
    <cfRule type="duplicateValues" dxfId="3" priority="27"/>
  </conditionalFormatting>
  <conditionalFormatting sqref="B231">
    <cfRule type="duplicateValues" dxfId="2" priority="5"/>
  </conditionalFormatting>
  <conditionalFormatting sqref="B232 B205:B230 B4:B67 B199:B203 B118 B125 B182:B183 B194 B142 B148 B160 B162 B136 B69:B83 B85:B103 B234:B248">
    <cfRule type="duplicateValues" dxfId="1" priority="32"/>
  </conditionalFormatting>
  <conditionalFormatting sqref="B233">
    <cfRule type="duplicateValues" dxfId="0" priority="4"/>
  </conditionalFormatting>
  <pageMargins left="0.7" right="0.7" top="0.75" bottom="0.75" header="0.3" footer="0.3"/>
  <pageSetup scale="86" fitToWidth="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topLeftCell="A64" workbookViewId="0">
      <selection activeCell="B28" sqref="B28"/>
    </sheetView>
  </sheetViews>
  <sheetFormatPr baseColWidth="10" defaultRowHeight="14.4" x14ac:dyDescent="0.3"/>
  <cols>
    <col min="2" max="2" width="76.5546875" bestFit="1" customWidth="1"/>
    <col min="3" max="3" width="14.109375" bestFit="1" customWidth="1"/>
    <col min="4" max="4" width="18" bestFit="1" customWidth="1"/>
    <col min="5" max="5" width="17.33203125" bestFit="1" customWidth="1"/>
  </cols>
  <sheetData>
    <row r="1" spans="1:6" ht="23.4" x14ac:dyDescent="0.45">
      <c r="A1" s="127"/>
      <c r="B1" s="400" t="s">
        <v>117</v>
      </c>
      <c r="C1" s="400"/>
      <c r="D1" s="400"/>
      <c r="E1" s="400"/>
      <c r="F1" s="400"/>
    </row>
    <row r="2" spans="1:6" x14ac:dyDescent="0.3">
      <c r="B2" s="128" t="s">
        <v>118</v>
      </c>
      <c r="C2" s="129" t="s">
        <v>119</v>
      </c>
      <c r="D2" s="130" t="s">
        <v>120</v>
      </c>
      <c r="E2" s="129" t="s">
        <v>121</v>
      </c>
      <c r="F2" s="129" t="s">
        <v>122</v>
      </c>
    </row>
    <row r="3" spans="1:6" x14ac:dyDescent="0.3">
      <c r="B3" s="131" t="s">
        <v>123</v>
      </c>
      <c r="C3" s="132"/>
      <c r="D3" s="132"/>
      <c r="E3" s="133">
        <f>C3-D3</f>
        <v>0</v>
      </c>
      <c r="F3" s="134" t="e">
        <f>D3*100/C3</f>
        <v>#DIV/0!</v>
      </c>
    </row>
    <row r="4" spans="1:6" ht="15.6" x14ac:dyDescent="0.3">
      <c r="B4" s="135"/>
      <c r="C4" s="136"/>
      <c r="D4" s="136"/>
      <c r="E4" s="135"/>
      <c r="F4" s="135"/>
    </row>
    <row r="5" spans="1:6" x14ac:dyDescent="0.3">
      <c r="B5" s="401" t="s">
        <v>124</v>
      </c>
      <c r="C5" s="401"/>
      <c r="D5" s="137" t="s">
        <v>125</v>
      </c>
      <c r="E5" s="128" t="s">
        <v>122</v>
      </c>
      <c r="F5" s="128" t="s">
        <v>126</v>
      </c>
    </row>
    <row r="6" spans="1:6" x14ac:dyDescent="0.3">
      <c r="B6" s="138" t="s">
        <v>127</v>
      </c>
      <c r="C6" s="139" t="s">
        <v>128</v>
      </c>
      <c r="D6" s="132"/>
      <c r="E6" s="140" t="e">
        <f>D6*100/D12</f>
        <v>#DIV/0!</v>
      </c>
      <c r="F6" s="131"/>
    </row>
    <row r="7" spans="1:6" x14ac:dyDescent="0.3">
      <c r="B7" s="138" t="s">
        <v>129</v>
      </c>
      <c r="C7" s="139" t="s">
        <v>128</v>
      </c>
      <c r="D7" s="132"/>
      <c r="E7" s="140" t="e">
        <f>D7*100/D12</f>
        <v>#DIV/0!</v>
      </c>
      <c r="F7" s="131"/>
    </row>
    <row r="8" spans="1:6" x14ac:dyDescent="0.3">
      <c r="B8" s="402" t="s">
        <v>130</v>
      </c>
      <c r="C8" s="139" t="s">
        <v>131</v>
      </c>
      <c r="D8" s="132"/>
      <c r="E8" s="140" t="e">
        <f>D8*100/D12</f>
        <v>#DIV/0!</v>
      </c>
      <c r="F8" s="131"/>
    </row>
    <row r="9" spans="1:6" x14ac:dyDescent="0.3">
      <c r="B9" s="402"/>
      <c r="C9" s="139" t="s">
        <v>132</v>
      </c>
      <c r="D9" s="132"/>
      <c r="E9" s="140" t="e">
        <f>D9*100/D12</f>
        <v>#DIV/0!</v>
      </c>
      <c r="F9" s="131"/>
    </row>
    <row r="10" spans="1:6" x14ac:dyDescent="0.3">
      <c r="B10" s="402" t="s">
        <v>133</v>
      </c>
      <c r="C10" s="139" t="s">
        <v>134</v>
      </c>
      <c r="D10" s="132"/>
      <c r="E10" s="140" t="e">
        <f>D10*100/D12</f>
        <v>#DIV/0!</v>
      </c>
      <c r="F10" s="131"/>
    </row>
    <row r="11" spans="1:6" x14ac:dyDescent="0.3">
      <c r="B11" s="402"/>
      <c r="C11" s="139" t="s">
        <v>135</v>
      </c>
      <c r="D11" s="132"/>
      <c r="E11" s="140" t="e">
        <f>D11*100/D12</f>
        <v>#DIV/0!</v>
      </c>
      <c r="F11" s="131"/>
    </row>
    <row r="12" spans="1:6" x14ac:dyDescent="0.3">
      <c r="B12" s="141" t="s">
        <v>136</v>
      </c>
      <c r="C12" s="128"/>
      <c r="D12" s="137">
        <f>SUM(D6:D11)</f>
        <v>0</v>
      </c>
      <c r="E12" s="142" t="e">
        <f>D12*100/D12</f>
        <v>#DIV/0!</v>
      </c>
      <c r="F12" s="141"/>
    </row>
    <row r="13" spans="1:6" ht="15.6" x14ac:dyDescent="0.3">
      <c r="B13" s="135"/>
      <c r="C13" s="136"/>
      <c r="D13" s="136"/>
      <c r="E13" s="135"/>
      <c r="F13" s="135"/>
    </row>
    <row r="14" spans="1:6" ht="15.6" x14ac:dyDescent="0.3">
      <c r="B14" s="403" t="s">
        <v>137</v>
      </c>
      <c r="C14" s="403"/>
      <c r="D14" s="403"/>
      <c r="E14" s="403"/>
      <c r="F14" s="403"/>
    </row>
    <row r="15" spans="1:6" x14ac:dyDescent="0.3">
      <c r="B15" s="143" t="s">
        <v>118</v>
      </c>
      <c r="C15" s="128" t="s">
        <v>138</v>
      </c>
      <c r="D15" s="137" t="s">
        <v>139</v>
      </c>
      <c r="E15" s="128" t="s">
        <v>140</v>
      </c>
      <c r="F15" s="128" t="s">
        <v>122</v>
      </c>
    </row>
    <row r="16" spans="1:6" x14ac:dyDescent="0.3">
      <c r="B16" s="144" t="s">
        <v>141</v>
      </c>
      <c r="C16" s="132"/>
      <c r="D16" s="132"/>
      <c r="E16" s="132">
        <f>C16-D16</f>
        <v>0</v>
      </c>
      <c r="F16" s="140" t="e">
        <f>D16*100/C16</f>
        <v>#DIV/0!</v>
      </c>
    </row>
    <row r="17" spans="1:6" x14ac:dyDescent="0.3">
      <c r="B17" s="144" t="s">
        <v>142</v>
      </c>
      <c r="C17" s="132"/>
      <c r="D17" s="132"/>
      <c r="E17" s="132">
        <f>C17-D17</f>
        <v>0</v>
      </c>
      <c r="F17" s="140" t="e">
        <f>D17*100/C17</f>
        <v>#DIV/0!</v>
      </c>
    </row>
    <row r="18" spans="1:6" x14ac:dyDescent="0.3">
      <c r="B18" s="141" t="s">
        <v>136</v>
      </c>
      <c r="C18" s="137">
        <f>SUM(C16:C17)</f>
        <v>0</v>
      </c>
      <c r="D18" s="137">
        <f>SUM(D16:D17)</f>
        <v>0</v>
      </c>
      <c r="E18" s="137">
        <f>SUM(E16:E17)</f>
        <v>0</v>
      </c>
      <c r="F18" s="142" t="e">
        <f>D18*100/C18</f>
        <v>#DIV/0!</v>
      </c>
    </row>
    <row r="19" spans="1:6" x14ac:dyDescent="0.3">
      <c r="C19" s="145"/>
      <c r="D19" s="146"/>
    </row>
    <row r="20" spans="1:6" ht="21" x14ac:dyDescent="0.4">
      <c r="A20" s="398" t="s">
        <v>143</v>
      </c>
      <c r="B20" s="399"/>
      <c r="C20" s="399"/>
      <c r="D20" s="399"/>
      <c r="E20" s="399"/>
      <c r="F20" s="399"/>
    </row>
    <row r="21" spans="1:6" x14ac:dyDescent="0.3">
      <c r="A21" s="147" t="s">
        <v>144</v>
      </c>
      <c r="B21" s="148" t="s">
        <v>145</v>
      </c>
      <c r="C21" s="149" t="s">
        <v>146</v>
      </c>
      <c r="D21" s="149" t="s">
        <v>147</v>
      </c>
      <c r="E21" s="148" t="s">
        <v>148</v>
      </c>
      <c r="F21" s="148" t="s">
        <v>149</v>
      </c>
    </row>
    <row r="22" spans="1:6" x14ac:dyDescent="0.3">
      <c r="A22" s="150" t="s">
        <v>150</v>
      </c>
      <c r="B22" s="150" t="s">
        <v>151</v>
      </c>
      <c r="C22" s="151">
        <f>SUM(C23,C24,C25,C26,C27,C28,C29,C30)</f>
        <v>278804000</v>
      </c>
      <c r="D22" s="151" t="e">
        <f>SUM(D23,D24,D25,D26,D27,D28,D29,D30)</f>
        <v>#REF!</v>
      </c>
      <c r="E22" s="152" t="e">
        <f>C22-D22</f>
        <v>#REF!</v>
      </c>
      <c r="F22" s="153" t="e">
        <f t="shared" ref="F22:F28" si="0">D22*100/C22</f>
        <v>#REF!</v>
      </c>
    </row>
    <row r="23" spans="1:6" x14ac:dyDescent="0.3">
      <c r="A23" s="154" t="s">
        <v>152</v>
      </c>
      <c r="B23" s="155" t="s">
        <v>153</v>
      </c>
      <c r="C23" s="156">
        <v>35608000</v>
      </c>
      <c r="D23" s="156" t="e">
        <f>SUM(#REF!)</f>
        <v>#REF!</v>
      </c>
      <c r="E23" s="156" t="e">
        <f>C23-D23</f>
        <v>#REF!</v>
      </c>
      <c r="F23" s="157" t="e">
        <f t="shared" si="0"/>
        <v>#REF!</v>
      </c>
    </row>
    <row r="24" spans="1:6" x14ac:dyDescent="0.3">
      <c r="A24" s="154" t="s">
        <v>154</v>
      </c>
      <c r="B24" s="155" t="s">
        <v>155</v>
      </c>
      <c r="C24" s="156">
        <v>7470000</v>
      </c>
      <c r="D24" s="156" t="e">
        <f>SUM(#REF!)</f>
        <v>#REF!</v>
      </c>
      <c r="E24" s="156" t="e">
        <f t="shared" ref="E24:E30" si="1">C24-D24</f>
        <v>#REF!</v>
      </c>
      <c r="F24" s="157" t="e">
        <f t="shared" si="0"/>
        <v>#REF!</v>
      </c>
    </row>
    <row r="25" spans="1:6" x14ac:dyDescent="0.3">
      <c r="A25" s="154" t="s">
        <v>156</v>
      </c>
      <c r="B25" s="155" t="s">
        <v>157</v>
      </c>
      <c r="C25" s="156">
        <v>30860000</v>
      </c>
      <c r="D25" s="156" t="e">
        <f>SUM(#REF!)</f>
        <v>#REF!</v>
      </c>
      <c r="E25" s="156" t="e">
        <f t="shared" si="1"/>
        <v>#REF!</v>
      </c>
      <c r="F25" s="157" t="e">
        <f t="shared" si="0"/>
        <v>#REF!</v>
      </c>
    </row>
    <row r="26" spans="1:6" x14ac:dyDescent="0.3">
      <c r="A26" s="154" t="s">
        <v>158</v>
      </c>
      <c r="B26" s="155" t="s">
        <v>159</v>
      </c>
      <c r="C26" s="156">
        <v>24480000</v>
      </c>
      <c r="D26" s="156" t="e">
        <f>SUM(#REF!)</f>
        <v>#REF!</v>
      </c>
      <c r="E26" s="156" t="e">
        <f t="shared" si="1"/>
        <v>#REF!</v>
      </c>
      <c r="F26" s="157" t="e">
        <f t="shared" si="0"/>
        <v>#REF!</v>
      </c>
    </row>
    <row r="27" spans="1:6" x14ac:dyDescent="0.3">
      <c r="A27" s="154" t="s">
        <v>160</v>
      </c>
      <c r="B27" s="155" t="s">
        <v>161</v>
      </c>
      <c r="C27" s="156">
        <v>1816000</v>
      </c>
      <c r="D27" s="156" t="e">
        <f>SUM(#REF!)</f>
        <v>#REF!</v>
      </c>
      <c r="E27" s="156" t="e">
        <f t="shared" si="1"/>
        <v>#REF!</v>
      </c>
      <c r="F27" s="157" t="e">
        <f t="shared" si="0"/>
        <v>#REF!</v>
      </c>
    </row>
    <row r="28" spans="1:6" x14ac:dyDescent="0.3">
      <c r="A28" s="154" t="s">
        <v>162</v>
      </c>
      <c r="B28" s="155" t="s">
        <v>163</v>
      </c>
      <c r="C28" s="156">
        <v>62570000</v>
      </c>
      <c r="D28" s="156" t="e">
        <f>SUM(#REF!)</f>
        <v>#REF!</v>
      </c>
      <c r="E28" s="156" t="e">
        <f t="shared" si="1"/>
        <v>#REF!</v>
      </c>
      <c r="F28" s="157" t="e">
        <f t="shared" si="0"/>
        <v>#REF!</v>
      </c>
    </row>
    <row r="29" spans="1:6" x14ac:dyDescent="0.3">
      <c r="A29" s="154" t="s">
        <v>164</v>
      </c>
      <c r="B29" s="155" t="s">
        <v>165</v>
      </c>
      <c r="C29" s="156">
        <v>42000000</v>
      </c>
      <c r="D29" s="156" t="e">
        <f>SUM(#REF!)</f>
        <v>#REF!</v>
      </c>
      <c r="E29" s="156" t="e">
        <f t="shared" si="1"/>
        <v>#REF!</v>
      </c>
      <c r="F29" s="157" t="e">
        <f t="shared" ref="F29:F39" si="2">D29*100/C29</f>
        <v>#REF!</v>
      </c>
    </row>
    <row r="30" spans="1:6" x14ac:dyDescent="0.3">
      <c r="A30" s="154" t="s">
        <v>166</v>
      </c>
      <c r="B30" s="155" t="s">
        <v>167</v>
      </c>
      <c r="C30" s="156">
        <v>74000000</v>
      </c>
      <c r="D30" s="156">
        <v>0</v>
      </c>
      <c r="E30" s="156">
        <f t="shared" si="1"/>
        <v>74000000</v>
      </c>
      <c r="F30" s="157">
        <f t="shared" si="2"/>
        <v>0</v>
      </c>
    </row>
    <row r="31" spans="1:6" x14ac:dyDescent="0.3">
      <c r="A31" s="163"/>
      <c r="B31" s="164"/>
      <c r="C31" s="165"/>
      <c r="D31" s="165">
        <v>0</v>
      </c>
      <c r="E31" s="165"/>
      <c r="F31" s="160"/>
    </row>
    <row r="32" spans="1:6" x14ac:dyDescent="0.3">
      <c r="A32" s="163"/>
      <c r="B32" s="164"/>
      <c r="C32" s="165"/>
      <c r="D32" s="165"/>
      <c r="E32" s="165"/>
      <c r="F32" s="160"/>
    </row>
    <row r="33" spans="1:6" x14ac:dyDescent="0.3">
      <c r="A33" s="166" t="s">
        <v>168</v>
      </c>
      <c r="B33" s="166" t="s">
        <v>169</v>
      </c>
      <c r="C33" s="167">
        <f>SUM(C34,C35)</f>
        <v>102420000</v>
      </c>
      <c r="D33" s="167" t="e">
        <f>D34+D35</f>
        <v>#REF!</v>
      </c>
      <c r="E33" s="167" t="e">
        <f>C33-D33</f>
        <v>#REF!</v>
      </c>
      <c r="F33" s="168" t="e">
        <f t="shared" si="2"/>
        <v>#REF!</v>
      </c>
    </row>
    <row r="34" spans="1:6" x14ac:dyDescent="0.3">
      <c r="A34" s="154" t="s">
        <v>152</v>
      </c>
      <c r="B34" s="155" t="s">
        <v>170</v>
      </c>
      <c r="C34" s="156">
        <v>101340000</v>
      </c>
      <c r="D34" s="156" t="e">
        <f>SUM(#REF!)</f>
        <v>#REF!</v>
      </c>
      <c r="E34" s="156" t="e">
        <f t="shared" ref="E34:E51" si="3">C34-D34</f>
        <v>#REF!</v>
      </c>
      <c r="F34" s="157" t="e">
        <f t="shared" si="2"/>
        <v>#REF!</v>
      </c>
    </row>
    <row r="35" spans="1:6" x14ac:dyDescent="0.3">
      <c r="A35" s="154" t="s">
        <v>171</v>
      </c>
      <c r="B35" s="155" t="s">
        <v>172</v>
      </c>
      <c r="C35" s="156">
        <v>1080000</v>
      </c>
      <c r="D35" s="156">
        <v>0</v>
      </c>
      <c r="E35" s="156">
        <f t="shared" si="3"/>
        <v>1080000</v>
      </c>
      <c r="F35" s="157">
        <f t="shared" si="2"/>
        <v>0</v>
      </c>
    </row>
    <row r="36" spans="1:6" x14ac:dyDescent="0.3">
      <c r="A36" s="158"/>
      <c r="B36" s="162"/>
      <c r="C36" s="159"/>
      <c r="D36" s="159"/>
      <c r="E36" s="159"/>
      <c r="F36" s="160"/>
    </row>
    <row r="37" spans="1:6" x14ac:dyDescent="0.3">
      <c r="A37" s="158"/>
      <c r="B37" s="162"/>
      <c r="C37" s="159"/>
      <c r="D37" s="159"/>
      <c r="E37" s="159"/>
      <c r="F37" s="160"/>
    </row>
    <row r="38" spans="1:6" x14ac:dyDescent="0.3">
      <c r="A38" s="166" t="s">
        <v>173</v>
      </c>
      <c r="B38" s="166" t="s">
        <v>174</v>
      </c>
      <c r="C38" s="167">
        <f>SUM(C39:C41)</f>
        <v>1353786231</v>
      </c>
      <c r="D38" s="167" t="e">
        <f>SUM(D39,D40,D41)</f>
        <v>#REF!</v>
      </c>
      <c r="E38" s="167" t="e">
        <f t="shared" si="3"/>
        <v>#REF!</v>
      </c>
      <c r="F38" s="168" t="e">
        <f t="shared" si="2"/>
        <v>#REF!</v>
      </c>
    </row>
    <row r="39" spans="1:6" x14ac:dyDescent="0.3">
      <c r="A39" s="154" t="s">
        <v>152</v>
      </c>
      <c r="B39" s="155" t="s">
        <v>175</v>
      </c>
      <c r="C39" s="156">
        <v>995116231</v>
      </c>
      <c r="D39" s="156" t="e">
        <f>SUM(#REF!)</f>
        <v>#REF!</v>
      </c>
      <c r="E39" s="156" t="e">
        <f t="shared" si="3"/>
        <v>#REF!</v>
      </c>
      <c r="F39" s="157" t="e">
        <f t="shared" si="2"/>
        <v>#REF!</v>
      </c>
    </row>
    <row r="40" spans="1:6" x14ac:dyDescent="0.3">
      <c r="A40" s="154" t="s">
        <v>176</v>
      </c>
      <c r="B40" s="155" t="s">
        <v>177</v>
      </c>
      <c r="C40" s="156">
        <v>211710000</v>
      </c>
      <c r="D40" s="156" t="e">
        <f>SUM(#REF!)</f>
        <v>#REF!</v>
      </c>
      <c r="E40" s="156" t="e">
        <f t="shared" si="3"/>
        <v>#REF!</v>
      </c>
      <c r="F40" s="157" t="e">
        <f t="shared" ref="F40:F60" si="4">D40*100/C40</f>
        <v>#REF!</v>
      </c>
    </row>
    <row r="41" spans="1:6" x14ac:dyDescent="0.3">
      <c r="A41" s="154" t="s">
        <v>156</v>
      </c>
      <c r="B41" s="155" t="s">
        <v>178</v>
      </c>
      <c r="C41" s="156">
        <v>146960000</v>
      </c>
      <c r="D41" s="156">
        <v>0</v>
      </c>
      <c r="E41" s="156">
        <f t="shared" si="3"/>
        <v>146960000</v>
      </c>
      <c r="F41" s="157">
        <f t="shared" si="4"/>
        <v>0</v>
      </c>
    </row>
    <row r="42" spans="1:6" x14ac:dyDescent="0.3">
      <c r="A42" s="158"/>
      <c r="B42" s="162"/>
      <c r="C42" s="159"/>
      <c r="D42" s="159"/>
      <c r="E42" s="159"/>
      <c r="F42" s="160"/>
    </row>
    <row r="43" spans="1:6" x14ac:dyDescent="0.3">
      <c r="A43" s="166" t="s">
        <v>179</v>
      </c>
      <c r="B43" s="166" t="s">
        <v>180</v>
      </c>
      <c r="C43" s="167">
        <f>SUM(C44:C45)</f>
        <v>232833000</v>
      </c>
      <c r="D43" s="167" t="e">
        <f>SUM(D44,D45)</f>
        <v>#REF!</v>
      </c>
      <c r="E43" s="167" t="e">
        <f t="shared" si="3"/>
        <v>#REF!</v>
      </c>
      <c r="F43" s="168" t="e">
        <f t="shared" si="4"/>
        <v>#REF!</v>
      </c>
    </row>
    <row r="44" spans="1:6" x14ac:dyDescent="0.3">
      <c r="A44" s="154" t="s">
        <v>152</v>
      </c>
      <c r="B44" s="155" t="s">
        <v>181</v>
      </c>
      <c r="C44" s="156">
        <v>205158000</v>
      </c>
      <c r="D44" s="156" t="e">
        <f>SUM(#REF!)</f>
        <v>#REF!</v>
      </c>
      <c r="E44" s="156" t="e">
        <f t="shared" si="3"/>
        <v>#REF!</v>
      </c>
      <c r="F44" s="157" t="e">
        <f t="shared" si="4"/>
        <v>#REF!</v>
      </c>
    </row>
    <row r="45" spans="1:6" x14ac:dyDescent="0.3">
      <c r="A45" s="154" t="s">
        <v>154</v>
      </c>
      <c r="B45" s="155" t="s">
        <v>182</v>
      </c>
      <c r="C45" s="156">
        <v>27675000</v>
      </c>
      <c r="D45" s="156" t="e">
        <f>SUM(#REF!)</f>
        <v>#REF!</v>
      </c>
      <c r="E45" s="156" t="e">
        <f t="shared" si="3"/>
        <v>#REF!</v>
      </c>
      <c r="F45" s="157" t="e">
        <f t="shared" si="4"/>
        <v>#REF!</v>
      </c>
    </row>
    <row r="46" spans="1:6" x14ac:dyDescent="0.3">
      <c r="A46" s="166" t="s">
        <v>183</v>
      </c>
      <c r="B46" s="166" t="s">
        <v>184</v>
      </c>
      <c r="C46" s="167">
        <f>SUM(C47:C72)</f>
        <v>560050400</v>
      </c>
      <c r="D46" s="167" t="e">
        <f>SUM(D47,D51,D56,D59,D60,D65,D69,D72)</f>
        <v>#REF!</v>
      </c>
      <c r="E46" s="167" t="e">
        <f t="shared" si="3"/>
        <v>#REF!</v>
      </c>
      <c r="F46" s="168" t="e">
        <f t="shared" si="4"/>
        <v>#REF!</v>
      </c>
    </row>
    <row r="47" spans="1:6" x14ac:dyDescent="0.3">
      <c r="A47" s="154" t="s">
        <v>152</v>
      </c>
      <c r="B47" s="155" t="s">
        <v>185</v>
      </c>
      <c r="C47" s="156">
        <v>45300000</v>
      </c>
      <c r="D47" s="170">
        <f>SUM(D48:D49)</f>
        <v>7867395</v>
      </c>
      <c r="E47" s="156">
        <f t="shared" si="3"/>
        <v>37432605</v>
      </c>
      <c r="F47" s="157">
        <f t="shared" si="4"/>
        <v>17.367317880794701</v>
      </c>
    </row>
    <row r="48" spans="1:6" x14ac:dyDescent="0.3">
      <c r="A48" s="163"/>
      <c r="B48" s="162" t="s">
        <v>186</v>
      </c>
      <c r="C48" s="159"/>
      <c r="D48" s="161">
        <v>5933800</v>
      </c>
      <c r="E48" s="165"/>
      <c r="F48" s="160"/>
    </row>
    <row r="49" spans="1:6" x14ac:dyDescent="0.3">
      <c r="A49" s="163"/>
      <c r="B49" s="162" t="s">
        <v>7</v>
      </c>
      <c r="C49" s="159"/>
      <c r="D49" s="159">
        <v>1933595</v>
      </c>
      <c r="E49" s="165"/>
      <c r="F49" s="160"/>
    </row>
    <row r="50" spans="1:6" x14ac:dyDescent="0.3">
      <c r="A50" s="163"/>
      <c r="B50" s="162"/>
      <c r="C50" s="159"/>
      <c r="D50" s="159"/>
      <c r="E50" s="165"/>
      <c r="F50" s="160"/>
    </row>
    <row r="51" spans="1:6" x14ac:dyDescent="0.3">
      <c r="A51" s="154" t="s">
        <v>154</v>
      </c>
      <c r="B51" s="155" t="s">
        <v>187</v>
      </c>
      <c r="C51" s="156">
        <v>59600000</v>
      </c>
      <c r="D51" s="156">
        <f>SUM(D52:D55)</f>
        <v>12763094</v>
      </c>
      <c r="E51" s="156">
        <f t="shared" si="3"/>
        <v>46836906</v>
      </c>
      <c r="F51" s="157">
        <f t="shared" si="4"/>
        <v>21.414587248322146</v>
      </c>
    </row>
    <row r="52" spans="1:6" x14ac:dyDescent="0.3">
      <c r="A52" s="163"/>
      <c r="B52" s="162" t="s">
        <v>188</v>
      </c>
      <c r="C52" s="159"/>
      <c r="D52" s="159">
        <v>8170294</v>
      </c>
      <c r="E52" s="171"/>
      <c r="F52" s="160"/>
    </row>
    <row r="53" spans="1:6" x14ac:dyDescent="0.3">
      <c r="A53" s="163"/>
      <c r="B53" s="162" t="s">
        <v>189</v>
      </c>
      <c r="C53" s="159"/>
      <c r="D53" s="159">
        <v>1000000</v>
      </c>
      <c r="E53" s="171"/>
      <c r="F53" s="160"/>
    </row>
    <row r="54" spans="1:6" x14ac:dyDescent="0.3">
      <c r="A54" s="163"/>
      <c r="B54" s="162" t="s">
        <v>190</v>
      </c>
      <c r="C54" s="159"/>
      <c r="D54" s="159">
        <v>3106800</v>
      </c>
      <c r="E54" s="171"/>
      <c r="F54" s="160"/>
    </row>
    <row r="55" spans="1:6" x14ac:dyDescent="0.3">
      <c r="A55" s="163"/>
      <c r="B55" s="162" t="s">
        <v>191</v>
      </c>
      <c r="C55" s="159"/>
      <c r="D55" s="159">
        <v>486000</v>
      </c>
      <c r="E55" s="171"/>
      <c r="F55" s="160"/>
    </row>
    <row r="56" spans="1:6" x14ac:dyDescent="0.3">
      <c r="A56" s="154" t="s">
        <v>156</v>
      </c>
      <c r="B56" s="155" t="s">
        <v>192</v>
      </c>
      <c r="C56" s="156">
        <v>1650000</v>
      </c>
      <c r="D56" s="156"/>
      <c r="E56" s="156">
        <f>C56-D56</f>
        <v>1650000</v>
      </c>
      <c r="F56" s="157">
        <f t="shared" si="4"/>
        <v>0</v>
      </c>
    </row>
    <row r="57" spans="1:6" x14ac:dyDescent="0.3">
      <c r="A57" s="163"/>
      <c r="B57" s="164"/>
      <c r="C57" s="165"/>
      <c r="D57" s="165"/>
      <c r="E57" s="171"/>
      <c r="F57" s="160"/>
    </row>
    <row r="58" spans="1:6" x14ac:dyDescent="0.3">
      <c r="A58" s="163"/>
      <c r="B58" s="164"/>
      <c r="C58" s="165"/>
      <c r="D58" s="165"/>
      <c r="E58" s="171"/>
      <c r="F58" s="160"/>
    </row>
    <row r="59" spans="1:6" x14ac:dyDescent="0.3">
      <c r="A59" s="154" t="s">
        <v>158</v>
      </c>
      <c r="B59" s="155" t="s">
        <v>193</v>
      </c>
      <c r="C59" s="156">
        <v>103735400</v>
      </c>
      <c r="D59" s="156" t="e">
        <f>SUM(#REF!)</f>
        <v>#REF!</v>
      </c>
      <c r="E59" s="156" t="e">
        <f>C59-D59</f>
        <v>#REF!</v>
      </c>
      <c r="F59" s="157" t="e">
        <f t="shared" si="4"/>
        <v>#REF!</v>
      </c>
    </row>
    <row r="60" spans="1:6" x14ac:dyDescent="0.3">
      <c r="A60" s="154" t="s">
        <v>160</v>
      </c>
      <c r="B60" s="155" t="s">
        <v>194</v>
      </c>
      <c r="C60" s="156">
        <v>65100000</v>
      </c>
      <c r="D60" s="156">
        <f>SUM(D61:D64)</f>
        <v>0</v>
      </c>
      <c r="E60" s="156">
        <f>C60-D60</f>
        <v>65100000</v>
      </c>
      <c r="F60" s="157">
        <f t="shared" si="4"/>
        <v>0</v>
      </c>
    </row>
    <row r="61" spans="1:6" x14ac:dyDescent="0.3">
      <c r="A61" s="163"/>
      <c r="B61" s="162"/>
      <c r="C61" s="159"/>
      <c r="D61" s="159"/>
      <c r="E61" s="169"/>
      <c r="F61" s="160"/>
    </row>
    <row r="62" spans="1:6" x14ac:dyDescent="0.3">
      <c r="A62" s="163"/>
      <c r="B62" s="162"/>
      <c r="C62" s="159"/>
      <c r="D62" s="159"/>
      <c r="E62" s="169"/>
      <c r="F62" s="160"/>
    </row>
    <row r="63" spans="1:6" x14ac:dyDescent="0.3">
      <c r="A63" s="163"/>
      <c r="B63" s="162"/>
      <c r="C63" s="159"/>
      <c r="D63" s="159"/>
      <c r="E63" s="169"/>
      <c r="F63" s="160"/>
    </row>
    <row r="64" spans="1:6" x14ac:dyDescent="0.3">
      <c r="A64" s="163"/>
      <c r="B64" s="162"/>
      <c r="C64" s="159"/>
      <c r="D64" s="159"/>
      <c r="E64" s="169"/>
      <c r="F64" s="160"/>
    </row>
    <row r="65" spans="1:6" x14ac:dyDescent="0.3">
      <c r="A65" s="154" t="s">
        <v>162</v>
      </c>
      <c r="B65" s="155" t="s">
        <v>195</v>
      </c>
      <c r="C65" s="156">
        <v>184000000</v>
      </c>
      <c r="D65" s="156">
        <f>SUM(D66:D67)</f>
        <v>244000</v>
      </c>
      <c r="E65" s="156">
        <f>C65-D65</f>
        <v>183756000</v>
      </c>
      <c r="F65" s="157">
        <f>D65*100/C65</f>
        <v>0.13260869565217392</v>
      </c>
    </row>
    <row r="66" spans="1:6" x14ac:dyDescent="0.3">
      <c r="A66" s="163"/>
      <c r="B66" s="162" t="s">
        <v>196</v>
      </c>
      <c r="C66" s="159"/>
      <c r="D66" s="159">
        <v>40000</v>
      </c>
      <c r="E66" s="169"/>
      <c r="F66" s="160"/>
    </row>
    <row r="67" spans="1:6" x14ac:dyDescent="0.3">
      <c r="A67" s="163"/>
      <c r="B67" s="162" t="s">
        <v>197</v>
      </c>
      <c r="C67" s="159"/>
      <c r="D67" s="159">
        <v>204000</v>
      </c>
      <c r="E67" s="169"/>
      <c r="F67" s="160"/>
    </row>
    <row r="68" spans="1:6" x14ac:dyDescent="0.3">
      <c r="A68" s="163"/>
      <c r="B68" s="162"/>
      <c r="C68" s="159"/>
      <c r="D68" s="159"/>
      <c r="E68" s="169"/>
      <c r="F68" s="160"/>
    </row>
    <row r="69" spans="1:6" x14ac:dyDescent="0.3">
      <c r="A69" s="154" t="s">
        <v>164</v>
      </c>
      <c r="B69" s="155" t="s">
        <v>198</v>
      </c>
      <c r="C69" s="156">
        <v>7490000</v>
      </c>
      <c r="D69" s="156">
        <f>SUM(D70:D71)</f>
        <v>586485</v>
      </c>
      <c r="E69" s="156">
        <f>C69-D69</f>
        <v>6903515</v>
      </c>
      <c r="F69" s="157">
        <f>D69*100/C69</f>
        <v>7.8302403204272366</v>
      </c>
    </row>
    <row r="70" spans="1:6" x14ac:dyDescent="0.3">
      <c r="A70" s="158"/>
      <c r="B70" s="162" t="s">
        <v>199</v>
      </c>
      <c r="C70" s="159"/>
      <c r="D70" s="159">
        <v>586485</v>
      </c>
      <c r="E70" s="169"/>
      <c r="F70" s="160"/>
    </row>
    <row r="71" spans="1:6" x14ac:dyDescent="0.3">
      <c r="A71" s="163"/>
      <c r="B71" s="164"/>
      <c r="C71" s="165"/>
      <c r="D71" s="165"/>
      <c r="E71" s="169"/>
      <c r="F71" s="160"/>
    </row>
    <row r="72" spans="1:6" x14ac:dyDescent="0.3">
      <c r="A72" s="154" t="s">
        <v>200</v>
      </c>
      <c r="B72" s="155" t="s">
        <v>201</v>
      </c>
      <c r="C72" s="156">
        <v>93175000</v>
      </c>
      <c r="D72" s="156">
        <v>0</v>
      </c>
      <c r="E72" s="156">
        <f>C72-D72</f>
        <v>93175000</v>
      </c>
      <c r="F72" s="157">
        <f>D72*100/C72</f>
        <v>0</v>
      </c>
    </row>
    <row r="73" spans="1:6" x14ac:dyDescent="0.3">
      <c r="A73" s="163"/>
      <c r="B73" s="164"/>
      <c r="C73" s="165"/>
      <c r="D73" s="165"/>
      <c r="E73" s="169"/>
      <c r="F73" s="160"/>
    </row>
    <row r="74" spans="1:6" x14ac:dyDescent="0.3">
      <c r="A74" s="163"/>
      <c r="B74" s="164"/>
      <c r="C74" s="165"/>
      <c r="D74" s="165"/>
      <c r="E74" s="169"/>
      <c r="F74" s="160"/>
    </row>
    <row r="75" spans="1:6" x14ac:dyDescent="0.3">
      <c r="A75" s="166" t="s">
        <v>202</v>
      </c>
      <c r="B75" s="166" t="s">
        <v>203</v>
      </c>
      <c r="C75" s="167">
        <f>SUM(C76:C79)</f>
        <v>252400000</v>
      </c>
      <c r="D75" s="167" t="e">
        <f>SUM(D76:D79)</f>
        <v>#REF!</v>
      </c>
      <c r="E75" s="167" t="e">
        <f>C75-D75</f>
        <v>#REF!</v>
      </c>
      <c r="F75" s="168" t="e">
        <f>D75*100/C75</f>
        <v>#REF!</v>
      </c>
    </row>
    <row r="76" spans="1:6" x14ac:dyDescent="0.3">
      <c r="A76" s="154" t="s">
        <v>152</v>
      </c>
      <c r="B76" s="155" t="s">
        <v>204</v>
      </c>
      <c r="C76" s="156">
        <v>176400000</v>
      </c>
      <c r="D76" s="156">
        <v>0</v>
      </c>
      <c r="E76" s="156">
        <f>C76-D76</f>
        <v>176400000</v>
      </c>
      <c r="F76" s="157">
        <f>D76*100/C76</f>
        <v>0</v>
      </c>
    </row>
    <row r="77" spans="1:6" x14ac:dyDescent="0.3">
      <c r="A77" s="158"/>
      <c r="B77" s="162"/>
      <c r="C77" s="159"/>
      <c r="D77" s="159"/>
      <c r="E77" s="172"/>
      <c r="F77" s="160"/>
    </row>
    <row r="78" spans="1:6" x14ac:dyDescent="0.3">
      <c r="A78" s="158"/>
      <c r="B78" s="162"/>
      <c r="C78" s="159"/>
      <c r="D78" s="159"/>
      <c r="E78" s="172"/>
      <c r="F78" s="160"/>
    </row>
    <row r="79" spans="1:6" x14ac:dyDescent="0.3">
      <c r="A79" s="154" t="s">
        <v>154</v>
      </c>
      <c r="B79" s="155" t="s">
        <v>205</v>
      </c>
      <c r="C79" s="156">
        <v>76000000</v>
      </c>
      <c r="D79" s="156" t="e">
        <f>SUM(#REF!)</f>
        <v>#REF!</v>
      </c>
      <c r="E79" s="156" t="e">
        <f>C79-D79</f>
        <v>#REF!</v>
      </c>
      <c r="F79" s="157" t="e">
        <f>D79*100/C79</f>
        <v>#REF!</v>
      </c>
    </row>
    <row r="80" spans="1:6" x14ac:dyDescent="0.3">
      <c r="A80" s="173"/>
      <c r="B80" s="174" t="s">
        <v>206</v>
      </c>
      <c r="C80" s="175">
        <f>SUM(C22,C33,C38,C43,C46,C75)</f>
        <v>2780293631</v>
      </c>
      <c r="D80" s="175" t="e">
        <f>SUM(D22,D33,D38,D43,D46,D75)</f>
        <v>#REF!</v>
      </c>
      <c r="E80" s="175" t="e">
        <f>C80-D80</f>
        <v>#REF!</v>
      </c>
      <c r="F80" s="176" t="e">
        <f>D80*100/C80</f>
        <v>#REF!</v>
      </c>
    </row>
  </sheetData>
  <mergeCells count="6">
    <mergeCell ref="A20:F20"/>
    <mergeCell ref="B1:F1"/>
    <mergeCell ref="B5:C5"/>
    <mergeCell ref="B8:B9"/>
    <mergeCell ref="B10:B11"/>
    <mergeCell ref="B14:F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sqref="A1:I10"/>
    </sheetView>
  </sheetViews>
  <sheetFormatPr baseColWidth="10" defaultRowHeight="14.4" x14ac:dyDescent="0.3"/>
  <cols>
    <col min="2" max="2" width="61.109375" style="343" bestFit="1" customWidth="1"/>
    <col min="4" max="4" width="11.109375" bestFit="1" customWidth="1"/>
    <col min="5" max="5" width="11.33203125" bestFit="1" customWidth="1"/>
    <col min="6" max="7" width="12.44140625" bestFit="1" customWidth="1"/>
    <col min="9" max="9" width="26.44140625" bestFit="1" customWidth="1"/>
  </cols>
  <sheetData>
    <row r="1" spans="1:9" ht="15.6" x14ac:dyDescent="0.3">
      <c r="A1" s="383" t="s">
        <v>989</v>
      </c>
      <c r="B1" s="383"/>
      <c r="C1" s="383"/>
      <c r="D1" s="383"/>
      <c r="E1" s="383"/>
      <c r="F1" s="383"/>
      <c r="G1" s="383"/>
      <c r="H1" s="383"/>
      <c r="I1" s="383"/>
    </row>
    <row r="2" spans="1:9" ht="41.4" x14ac:dyDescent="0.3">
      <c r="A2" s="106" t="s">
        <v>113</v>
      </c>
      <c r="B2" s="106" t="s">
        <v>104</v>
      </c>
      <c r="C2" s="310" t="s">
        <v>105</v>
      </c>
      <c r="D2" s="108" t="s">
        <v>106</v>
      </c>
      <c r="E2" s="108" t="s">
        <v>107</v>
      </c>
      <c r="F2" s="107" t="s">
        <v>108</v>
      </c>
      <c r="G2" s="107" t="s">
        <v>109</v>
      </c>
      <c r="H2" s="106" t="s">
        <v>110</v>
      </c>
      <c r="I2" s="107" t="s">
        <v>111</v>
      </c>
    </row>
    <row r="3" spans="1:9" x14ac:dyDescent="0.3">
      <c r="A3" s="109">
        <v>1</v>
      </c>
      <c r="B3" s="341" t="s">
        <v>990</v>
      </c>
      <c r="C3" s="317" t="s">
        <v>951</v>
      </c>
      <c r="D3" s="112">
        <v>45807</v>
      </c>
      <c r="E3" s="112">
        <v>45807</v>
      </c>
      <c r="F3" s="109">
        <v>26662000</v>
      </c>
      <c r="G3" s="109">
        <v>26667963</v>
      </c>
      <c r="H3" s="109">
        <f t="shared" ref="H3:H8" si="0">G3-F3</f>
        <v>5963</v>
      </c>
      <c r="I3" s="109" t="s">
        <v>991</v>
      </c>
    </row>
    <row r="4" spans="1:9" x14ac:dyDescent="0.3">
      <c r="A4" s="109">
        <v>2</v>
      </c>
      <c r="B4" s="341" t="s">
        <v>992</v>
      </c>
      <c r="C4" s="317" t="s">
        <v>951</v>
      </c>
      <c r="D4" s="112">
        <v>45826</v>
      </c>
      <c r="E4" s="112">
        <v>45828</v>
      </c>
      <c r="F4" s="109">
        <v>27710000</v>
      </c>
      <c r="G4" s="109">
        <v>27715963</v>
      </c>
      <c r="H4" s="109">
        <f t="shared" si="0"/>
        <v>5963</v>
      </c>
      <c r="I4" s="109" t="s">
        <v>991</v>
      </c>
    </row>
    <row r="5" spans="1:9" x14ac:dyDescent="0.3">
      <c r="A5" s="109">
        <v>3</v>
      </c>
      <c r="B5" s="341" t="s">
        <v>996</v>
      </c>
      <c r="C5" s="317" t="s">
        <v>951</v>
      </c>
      <c r="D5" s="112">
        <v>45876</v>
      </c>
      <c r="E5" s="112">
        <v>45877</v>
      </c>
      <c r="F5" s="109">
        <v>193204330</v>
      </c>
      <c r="G5" s="109">
        <v>193210293</v>
      </c>
      <c r="H5" s="109">
        <f t="shared" si="0"/>
        <v>5963</v>
      </c>
      <c r="I5" s="109" t="s">
        <v>993</v>
      </c>
    </row>
    <row r="6" spans="1:9" x14ac:dyDescent="0.3">
      <c r="A6" s="109">
        <v>4</v>
      </c>
      <c r="B6" s="341" t="s">
        <v>994</v>
      </c>
      <c r="C6" s="317" t="s">
        <v>951</v>
      </c>
      <c r="D6" s="112">
        <v>45883</v>
      </c>
      <c r="E6" s="112">
        <v>45884</v>
      </c>
      <c r="F6" s="109">
        <v>34250000</v>
      </c>
      <c r="G6" s="109">
        <v>34255963</v>
      </c>
      <c r="H6" s="109">
        <f t="shared" si="0"/>
        <v>5963</v>
      </c>
      <c r="I6" s="109" t="s">
        <v>991</v>
      </c>
    </row>
    <row r="7" spans="1:9" x14ac:dyDescent="0.3">
      <c r="A7" s="109">
        <v>5</v>
      </c>
      <c r="B7" s="341" t="s">
        <v>995</v>
      </c>
      <c r="C7" s="317" t="s">
        <v>951</v>
      </c>
      <c r="D7" s="112">
        <v>45887</v>
      </c>
      <c r="E7" s="112">
        <v>45887</v>
      </c>
      <c r="F7" s="109">
        <v>38410000</v>
      </c>
      <c r="G7" s="109">
        <v>38415963</v>
      </c>
      <c r="H7" s="109">
        <f t="shared" si="0"/>
        <v>5963</v>
      </c>
      <c r="I7" s="109" t="s">
        <v>101</v>
      </c>
    </row>
    <row r="8" spans="1:9" x14ac:dyDescent="0.3">
      <c r="A8" s="109">
        <v>6</v>
      </c>
      <c r="B8" s="341" t="s">
        <v>995</v>
      </c>
      <c r="C8" s="317" t="s">
        <v>951</v>
      </c>
      <c r="D8" s="112">
        <v>46352</v>
      </c>
      <c r="E8" s="112">
        <v>45987</v>
      </c>
      <c r="F8" s="109">
        <v>21000000</v>
      </c>
      <c r="G8" s="109">
        <v>21005963</v>
      </c>
      <c r="H8" s="109">
        <f t="shared" si="0"/>
        <v>5963</v>
      </c>
      <c r="I8" s="109" t="s">
        <v>101</v>
      </c>
    </row>
    <row r="9" spans="1:9" x14ac:dyDescent="0.3">
      <c r="A9" s="109">
        <v>7</v>
      </c>
      <c r="B9" s="342" t="s">
        <v>112</v>
      </c>
      <c r="C9" s="313"/>
      <c r="D9" s="115"/>
      <c r="E9" s="116"/>
      <c r="F9" s="117">
        <f>SUM(F3:F8)</f>
        <v>341236330</v>
      </c>
      <c r="G9" s="117">
        <f>SUM(G3:G8)</f>
        <v>341272108</v>
      </c>
      <c r="H9" s="118">
        <f>SUM(H3:H8)</f>
        <v>35778</v>
      </c>
      <c r="I9" s="119"/>
    </row>
    <row r="10" spans="1:9" x14ac:dyDescent="0.3">
      <c r="A10" s="120"/>
      <c r="B10" s="384" t="s">
        <v>947</v>
      </c>
      <c r="C10" s="385"/>
      <c r="D10" s="385"/>
      <c r="E10" s="386"/>
      <c r="F10" s="121">
        <f>SUM(F9+H9)</f>
        <v>341272108</v>
      </c>
      <c r="G10" s="122"/>
      <c r="H10" s="120"/>
      <c r="I10" s="122"/>
    </row>
  </sheetData>
  <mergeCells count="2">
    <mergeCell ref="A1:I1"/>
    <mergeCell ref="B10:E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activeCell="D27" sqref="D27"/>
    </sheetView>
  </sheetViews>
  <sheetFormatPr baseColWidth="10" defaultRowHeight="14.4" x14ac:dyDescent="0.3"/>
  <cols>
    <col min="1" max="1" width="3.44140625" bestFit="1" customWidth="1"/>
    <col min="2" max="2" width="24.109375" customWidth="1"/>
    <col min="3" max="3" width="34" customWidth="1"/>
    <col min="4" max="4" width="20.33203125" style="184" customWidth="1"/>
    <col min="5" max="5" width="11.44140625" style="184"/>
    <col min="6" max="6" width="12.44140625" bestFit="1" customWidth="1"/>
  </cols>
  <sheetData>
    <row r="1" spans="1:6" ht="15.6" x14ac:dyDescent="0.3">
      <c r="A1" s="383" t="s">
        <v>997</v>
      </c>
      <c r="B1" s="383"/>
      <c r="C1" s="383"/>
      <c r="D1" s="383"/>
      <c r="E1" s="383"/>
      <c r="F1" s="383"/>
    </row>
    <row r="2" spans="1:6" x14ac:dyDescent="0.3">
      <c r="A2" s="106" t="s">
        <v>113</v>
      </c>
      <c r="B2" s="106" t="s">
        <v>998</v>
      </c>
      <c r="C2" s="310" t="s">
        <v>105</v>
      </c>
      <c r="D2" s="107" t="s">
        <v>999</v>
      </c>
      <c r="E2" s="107" t="s">
        <v>1000</v>
      </c>
      <c r="F2" s="107" t="s">
        <v>1001</v>
      </c>
    </row>
    <row r="3" spans="1:6" x14ac:dyDescent="0.3">
      <c r="A3" s="109">
        <v>1</v>
      </c>
      <c r="B3" s="341" t="s">
        <v>1002</v>
      </c>
      <c r="C3" s="317"/>
      <c r="D3" s="109">
        <v>11006023</v>
      </c>
      <c r="E3" s="109">
        <v>24450000</v>
      </c>
      <c r="F3" s="109">
        <f>SUM(D3:E3)</f>
        <v>35456023</v>
      </c>
    </row>
    <row r="4" spans="1:6" x14ac:dyDescent="0.3">
      <c r="A4" s="109">
        <v>2</v>
      </c>
      <c r="B4" s="341" t="s">
        <v>724</v>
      </c>
      <c r="C4" s="317"/>
      <c r="D4" s="109">
        <v>11006024</v>
      </c>
      <c r="E4" s="109">
        <v>24450000</v>
      </c>
      <c r="F4" s="109">
        <f t="shared" ref="F4:F16" si="0">SUM(D4:E4)</f>
        <v>35456024</v>
      </c>
    </row>
    <row r="5" spans="1:6" x14ac:dyDescent="0.3">
      <c r="A5" s="109">
        <v>3</v>
      </c>
      <c r="B5" s="341" t="s">
        <v>1003</v>
      </c>
      <c r="C5" s="317"/>
      <c r="D5" s="109">
        <v>11274434</v>
      </c>
      <c r="E5" s="109">
        <v>22466545</v>
      </c>
      <c r="F5" s="109">
        <f t="shared" si="0"/>
        <v>33740979</v>
      </c>
    </row>
    <row r="6" spans="1:6" x14ac:dyDescent="0.3">
      <c r="A6" s="109">
        <v>4</v>
      </c>
      <c r="B6" s="341" t="s">
        <v>1004</v>
      </c>
      <c r="C6" s="317"/>
      <c r="D6" s="109">
        <v>12977501</v>
      </c>
      <c r="E6" s="109">
        <v>22650056</v>
      </c>
      <c r="F6" s="109">
        <f t="shared" si="0"/>
        <v>35627557</v>
      </c>
    </row>
    <row r="7" spans="1:6" x14ac:dyDescent="0.3">
      <c r="A7" s="109">
        <v>5</v>
      </c>
      <c r="B7" s="341" t="s">
        <v>1005</v>
      </c>
      <c r="C7" s="317"/>
      <c r="D7" s="109">
        <v>13143739</v>
      </c>
      <c r="E7" s="109">
        <v>22695000</v>
      </c>
      <c r="F7" s="109">
        <f t="shared" si="0"/>
        <v>35838739</v>
      </c>
    </row>
    <row r="8" spans="1:6" x14ac:dyDescent="0.3">
      <c r="A8" s="109">
        <v>6</v>
      </c>
      <c r="B8" s="341" t="s">
        <v>1006</v>
      </c>
      <c r="C8" s="317"/>
      <c r="D8" s="109">
        <v>13380250</v>
      </c>
      <c r="E8" s="109">
        <v>22330000</v>
      </c>
      <c r="F8" s="109">
        <f t="shared" si="0"/>
        <v>35710250</v>
      </c>
    </row>
    <row r="9" spans="1:6" x14ac:dyDescent="0.3">
      <c r="A9" s="109">
        <v>7</v>
      </c>
      <c r="B9" s="341" t="s">
        <v>1007</v>
      </c>
      <c r="C9" s="317"/>
      <c r="D9" s="109">
        <v>12911941</v>
      </c>
      <c r="E9" s="109">
        <v>22330000</v>
      </c>
      <c r="F9" s="109">
        <f t="shared" si="0"/>
        <v>35241941</v>
      </c>
    </row>
    <row r="10" spans="1:6" x14ac:dyDescent="0.3">
      <c r="A10" s="109">
        <v>8</v>
      </c>
      <c r="B10" s="341" t="s">
        <v>1008</v>
      </c>
      <c r="C10" s="317"/>
      <c r="D10" s="109">
        <v>12911941</v>
      </c>
      <c r="E10" s="109">
        <v>22365000</v>
      </c>
      <c r="F10" s="109">
        <f t="shared" si="0"/>
        <v>35276941</v>
      </c>
    </row>
    <row r="11" spans="1:6" x14ac:dyDescent="0.3">
      <c r="A11" s="109">
        <v>9</v>
      </c>
      <c r="B11" s="341" t="s">
        <v>1009</v>
      </c>
      <c r="C11" s="317"/>
      <c r="D11" s="109">
        <v>13380249</v>
      </c>
      <c r="E11" s="109">
        <v>22365000</v>
      </c>
      <c r="F11" s="109">
        <f t="shared" si="0"/>
        <v>35745249</v>
      </c>
    </row>
    <row r="12" spans="1:6" x14ac:dyDescent="0.3">
      <c r="A12" s="109">
        <v>10</v>
      </c>
      <c r="B12" s="341" t="s">
        <v>1010</v>
      </c>
      <c r="C12" s="317"/>
      <c r="D12" s="109">
        <v>13386963</v>
      </c>
      <c r="E12" s="109">
        <v>22365000</v>
      </c>
      <c r="F12" s="109">
        <f t="shared" si="0"/>
        <v>35751963</v>
      </c>
    </row>
    <row r="13" spans="1:6" x14ac:dyDescent="0.3">
      <c r="A13" s="109">
        <v>11</v>
      </c>
      <c r="B13" s="341" t="s">
        <v>1011</v>
      </c>
      <c r="C13" s="317"/>
      <c r="D13" s="109">
        <v>15481287</v>
      </c>
      <c r="E13" s="109">
        <v>24655000</v>
      </c>
      <c r="F13" s="109">
        <f t="shared" si="0"/>
        <v>40136287</v>
      </c>
    </row>
    <row r="14" spans="1:6" x14ac:dyDescent="0.3">
      <c r="A14" s="109">
        <v>12</v>
      </c>
      <c r="B14" s="341" t="s">
        <v>1012</v>
      </c>
      <c r="C14" s="317"/>
      <c r="D14" s="109">
        <v>15481287</v>
      </c>
      <c r="E14" s="109">
        <v>24655000</v>
      </c>
      <c r="F14" s="109">
        <f t="shared" si="0"/>
        <v>40136287</v>
      </c>
    </row>
    <row r="15" spans="1:6" x14ac:dyDescent="0.3">
      <c r="A15" s="109"/>
      <c r="B15" s="341" t="s">
        <v>1013</v>
      </c>
      <c r="C15" s="317"/>
      <c r="E15" s="109">
        <v>18250000</v>
      </c>
      <c r="F15" s="109">
        <f>SUM(E15:E15)</f>
        <v>18250000</v>
      </c>
    </row>
    <row r="16" spans="1:6" x14ac:dyDescent="0.3">
      <c r="A16" s="109"/>
      <c r="B16" s="341" t="s">
        <v>1014</v>
      </c>
      <c r="C16" s="317"/>
      <c r="D16" s="109"/>
      <c r="E16" s="109">
        <v>18250000</v>
      </c>
      <c r="F16" s="109">
        <f t="shared" si="0"/>
        <v>18250000</v>
      </c>
    </row>
    <row r="17" spans="1:6" x14ac:dyDescent="0.3">
      <c r="A17" s="109">
        <v>13</v>
      </c>
      <c r="B17" s="342" t="s">
        <v>112</v>
      </c>
      <c r="C17" s="313"/>
      <c r="D17" s="119"/>
      <c r="E17" s="344"/>
      <c r="F17" s="117">
        <f>SUM(F3:F14)</f>
        <v>434118240</v>
      </c>
    </row>
    <row r="18" spans="1:6" x14ac:dyDescent="0.3">
      <c r="A18" s="120"/>
      <c r="B18" s="384" t="s">
        <v>947</v>
      </c>
      <c r="C18" s="385"/>
      <c r="D18" s="385"/>
      <c r="E18" s="386"/>
      <c r="F18" s="121">
        <f>SUM(F17)</f>
        <v>434118240</v>
      </c>
    </row>
  </sheetData>
  <mergeCells count="2">
    <mergeCell ref="A1:F1"/>
    <mergeCell ref="B18:E18"/>
  </mergeCells>
  <phoneticPr fontId="6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Journal PSLS</vt:lpstr>
      <vt:lpstr>Etat RAP</vt:lpstr>
      <vt:lpstr>Compte OP</vt:lpstr>
      <vt:lpstr>Imputation</vt:lpstr>
      <vt:lpstr>Suivi Budget</vt:lpstr>
      <vt:lpstr>Rapport Financier</vt:lpstr>
      <vt:lpstr>ARV</vt: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Ndingamadji Ndilré Kado</dc:creator>
  <cp:lastModifiedBy>HP</cp:lastModifiedBy>
  <cp:lastPrinted>2025-11-11T10:48:29Z</cp:lastPrinted>
  <dcterms:created xsi:type="dcterms:W3CDTF">2025-01-02T11:04:55Z</dcterms:created>
  <dcterms:modified xsi:type="dcterms:W3CDTF">2026-01-23T21:38:13Z</dcterms:modified>
</cp:coreProperties>
</file>