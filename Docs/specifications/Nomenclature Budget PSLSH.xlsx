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Comptabilité PSLS_IST\"/>
    </mc:Choice>
  </mc:AlternateContent>
  <bookViews>
    <workbookView xWindow="0" yWindow="0" windowWidth="23040" windowHeight="9264"/>
  </bookViews>
  <sheets>
    <sheet name="Budget Consolidé" sheetId="1" r:id="rId1"/>
    <sheet name="Feuil1" sheetId="5" r:id="rId2"/>
    <sheet name="Depenses Etat" sheetId="4" r:id="rId3"/>
    <sheet name="Feuil2" sheetId="3" r:id="rId4"/>
    <sheet name="Feuil3" sheetId="6" r:id="rId5"/>
  </sheets>
  <calcPr calcId="15251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7" i="1" l="1"/>
  <c r="E44" i="1"/>
  <c r="E47" i="1"/>
  <c r="F98" i="1"/>
  <c r="E97" i="1"/>
  <c r="E98" i="1"/>
  <c r="D45" i="1"/>
  <c r="D39" i="1"/>
  <c r="D11" i="1"/>
  <c r="A1" i="6"/>
  <c r="A2" i="6"/>
  <c r="A8" i="6"/>
  <c r="A6" i="6"/>
  <c r="A3" i="6"/>
  <c r="A89" i="6"/>
  <c r="A93" i="6"/>
  <c r="A9" i="6"/>
  <c r="A7" i="6"/>
  <c r="A12" i="6"/>
  <c r="A11" i="6"/>
  <c r="A15" i="6"/>
  <c r="A14" i="6"/>
  <c r="A18" i="6"/>
  <c r="A19" i="6"/>
  <c r="A20" i="6"/>
  <c r="A21" i="6"/>
  <c r="A17" i="6"/>
  <c r="A23" i="6"/>
  <c r="A24" i="6"/>
  <c r="A25" i="6"/>
  <c r="A22" i="6"/>
  <c r="A36" i="6"/>
  <c r="A35" i="6"/>
  <c r="A42" i="6"/>
  <c r="A41" i="6"/>
  <c r="A47" i="6"/>
  <c r="A49" i="6"/>
  <c r="A50" i="6"/>
  <c r="A53" i="6"/>
  <c r="A58" i="6"/>
  <c r="A59" i="6"/>
  <c r="A46" i="6"/>
  <c r="A62" i="6"/>
  <c r="A60" i="6"/>
  <c r="A45" i="6"/>
  <c r="A64" i="6"/>
  <c r="A65" i="6"/>
  <c r="A66" i="6"/>
  <c r="A68" i="6"/>
  <c r="A70" i="6"/>
  <c r="A63" i="6"/>
  <c r="A34" i="6"/>
  <c r="A74" i="6"/>
  <c r="A71" i="6"/>
  <c r="A77" i="6"/>
  <c r="A76" i="6"/>
  <c r="A81" i="6"/>
  <c r="A80" i="6"/>
  <c r="A87" i="6"/>
  <c r="A84" i="6"/>
  <c r="A75" i="6"/>
  <c r="A94" i="6"/>
  <c r="A95" i="6"/>
  <c r="A92" i="6"/>
  <c r="A98" i="6"/>
  <c r="D10" i="1"/>
  <c r="D9" i="1"/>
  <c r="D44" i="1"/>
  <c r="D37" i="1"/>
  <c r="D4" i="1"/>
  <c r="D93" i="1"/>
  <c r="D15" i="1"/>
  <c r="D12" i="1"/>
  <c r="D6" i="1"/>
  <c r="D91" i="1"/>
  <c r="D99" i="1"/>
  <c r="D81" i="1"/>
  <c r="D51" i="1"/>
  <c r="D63" i="1"/>
  <c r="D62" i="1"/>
  <c r="D57" i="1"/>
  <c r="D54" i="1"/>
  <c r="D53" i="1"/>
  <c r="D68" i="1"/>
  <c r="D67" i="1"/>
  <c r="D96" i="4"/>
  <c r="D70" i="1"/>
  <c r="D38" i="1"/>
  <c r="D49" i="1"/>
  <c r="D75" i="1"/>
  <c r="E39" i="1"/>
  <c r="E38" i="1"/>
  <c r="E45" i="1"/>
  <c r="E48" i="1"/>
  <c r="E37" i="1"/>
  <c r="E11" i="1"/>
  <c r="E10" i="1"/>
  <c r="E9" i="1"/>
  <c r="E4" i="1"/>
  <c r="C67" i="1"/>
  <c r="D112" i="1"/>
  <c r="D109" i="1"/>
  <c r="D107" i="1"/>
  <c r="D171" i="1"/>
  <c r="F171" i="1"/>
  <c r="F172" i="1"/>
  <c r="F173" i="1"/>
  <c r="C38" i="1"/>
  <c r="C44" i="1"/>
  <c r="C37" i="1"/>
  <c r="C4" i="1"/>
  <c r="C103" i="1"/>
  <c r="C170" i="1"/>
  <c r="E96" i="1"/>
  <c r="E103" i="1"/>
  <c r="E170" i="1"/>
  <c r="E108" i="1"/>
  <c r="E107" i="1"/>
  <c r="E111" i="1"/>
  <c r="E109" i="1"/>
  <c r="E112" i="1"/>
  <c r="E171" i="1"/>
  <c r="C171" i="1"/>
  <c r="E172" i="1"/>
  <c r="D172" i="1"/>
  <c r="C172" i="1"/>
  <c r="E174" i="1"/>
  <c r="C174" i="1"/>
  <c r="E173" i="1"/>
  <c r="D173" i="1"/>
  <c r="C173"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32" i="1"/>
  <c r="D166" i="1"/>
  <c r="E166" i="1"/>
  <c r="C166" i="1"/>
  <c r="F166" i="1"/>
  <c r="D128" i="1"/>
  <c r="E128" i="1"/>
  <c r="C128" i="1"/>
  <c r="C126" i="1"/>
  <c r="C116" i="1"/>
  <c r="C119" i="1"/>
  <c r="D97" i="1"/>
  <c r="D100" i="1"/>
  <c r="D96" i="1"/>
  <c r="E99" i="1"/>
  <c r="E101" i="1"/>
  <c r="E102" i="1"/>
  <c r="E100" i="1"/>
  <c r="C97" i="1"/>
  <c r="C100" i="1"/>
  <c r="C96" i="1"/>
  <c r="D116" i="1"/>
  <c r="D120" i="1"/>
  <c r="D124" i="1"/>
  <c r="D119" i="1"/>
  <c r="D126" i="1"/>
  <c r="E117" i="1"/>
  <c r="E118" i="1"/>
  <c r="E116" i="1"/>
  <c r="E120" i="1"/>
  <c r="E121" i="1"/>
  <c r="E122" i="1"/>
  <c r="E123" i="1"/>
  <c r="E124" i="1"/>
  <c r="E125" i="1"/>
  <c r="E119" i="1"/>
  <c r="E127" i="1"/>
  <c r="E126" i="1"/>
  <c r="E110" i="1"/>
  <c r="C107" i="1"/>
  <c r="C109" i="1"/>
  <c r="C112" i="1"/>
  <c r="F128" i="1"/>
  <c r="F127" i="1"/>
  <c r="F126" i="1"/>
  <c r="F125" i="1"/>
  <c r="F124" i="1"/>
  <c r="F123" i="1"/>
  <c r="F122" i="1"/>
  <c r="F121" i="1"/>
  <c r="F120" i="1"/>
  <c r="F119" i="1"/>
  <c r="F118" i="1"/>
  <c r="F117" i="1"/>
  <c r="F116" i="1"/>
  <c r="E6" i="1"/>
  <c r="E7" i="1"/>
  <c r="E8" i="1"/>
  <c r="E5" i="1"/>
  <c r="D5" i="1"/>
  <c r="C5" i="1"/>
  <c r="F112" i="1"/>
  <c r="F111" i="1"/>
  <c r="F110" i="1"/>
  <c r="F109" i="1"/>
  <c r="F108" i="1"/>
  <c r="F107" i="1"/>
  <c r="D14" i="1"/>
  <c r="D18" i="1"/>
  <c r="D17" i="1"/>
  <c r="D21" i="1"/>
  <c r="D22" i="1"/>
  <c r="D23" i="1"/>
  <c r="D24" i="1"/>
  <c r="D20" i="1"/>
  <c r="D26" i="1"/>
  <c r="D27" i="1"/>
  <c r="D28" i="1"/>
  <c r="D25" i="1"/>
  <c r="D50" i="1"/>
  <c r="D66" i="1"/>
  <c r="D64" i="1"/>
  <c r="D69" i="1"/>
  <c r="D72" i="1"/>
  <c r="D74" i="1"/>
  <c r="D78" i="1"/>
  <c r="D80" i="1"/>
  <c r="D85" i="1"/>
  <c r="D84" i="1"/>
  <c r="D88" i="1"/>
  <c r="D79" i="1"/>
  <c r="C10" i="1"/>
  <c r="C14" i="1"/>
  <c r="C17" i="1"/>
  <c r="C20" i="1"/>
  <c r="C25" i="1"/>
  <c r="C9" i="1"/>
  <c r="C50" i="1"/>
  <c r="C64" i="1"/>
  <c r="C49" i="1"/>
  <c r="C75" i="1"/>
  <c r="C80" i="1"/>
  <c r="C84" i="1"/>
  <c r="C88" i="1"/>
  <c r="C79" i="1"/>
  <c r="E12" i="1"/>
  <c r="E13" i="1"/>
  <c r="E15" i="1"/>
  <c r="E16" i="1"/>
  <c r="E14" i="1"/>
  <c r="E18" i="1"/>
  <c r="E19" i="1"/>
  <c r="E17" i="1"/>
  <c r="E21" i="1"/>
  <c r="E22" i="1"/>
  <c r="E23" i="1"/>
  <c r="E24" i="1"/>
  <c r="E20" i="1"/>
  <c r="E26" i="1"/>
  <c r="E27" i="1"/>
  <c r="E28" i="1"/>
  <c r="E29" i="1"/>
  <c r="E30" i="1"/>
  <c r="E31" i="1"/>
  <c r="E32" i="1"/>
  <c r="E33" i="1"/>
  <c r="E34" i="1"/>
  <c r="E35" i="1"/>
  <c r="E36" i="1"/>
  <c r="E25" i="1"/>
  <c r="E40" i="1"/>
  <c r="E41" i="1"/>
  <c r="E42" i="1"/>
  <c r="E43" i="1"/>
  <c r="E46" i="1"/>
  <c r="E51" i="1"/>
  <c r="E52" i="1"/>
  <c r="E53" i="1"/>
  <c r="E54" i="1"/>
  <c r="E55" i="1"/>
  <c r="E56" i="1"/>
  <c r="E57" i="1"/>
  <c r="E58" i="1"/>
  <c r="E59" i="1"/>
  <c r="E60" i="1"/>
  <c r="E61" i="1"/>
  <c r="E62" i="1"/>
  <c r="E63" i="1"/>
  <c r="E50" i="1"/>
  <c r="E65" i="1"/>
  <c r="E66" i="1"/>
  <c r="E64" i="1"/>
  <c r="E49" i="1"/>
  <c r="E68" i="1"/>
  <c r="E69" i="1"/>
  <c r="E70" i="1"/>
  <c r="E71" i="1"/>
  <c r="E72" i="1"/>
  <c r="E73" i="1"/>
  <c r="E74" i="1"/>
  <c r="E67" i="1"/>
  <c r="E76" i="1"/>
  <c r="E77" i="1"/>
  <c r="E78" i="1"/>
  <c r="E75" i="1"/>
  <c r="E81" i="1"/>
  <c r="E82" i="1"/>
  <c r="E83" i="1"/>
  <c r="E80" i="1"/>
  <c r="E85" i="1"/>
  <c r="E86" i="1"/>
  <c r="E87" i="1"/>
  <c r="E84" i="1"/>
  <c r="E89" i="1"/>
  <c r="E90" i="1"/>
  <c r="E91" i="1"/>
  <c r="E92" i="1"/>
  <c r="E93" i="1"/>
  <c r="E94" i="1"/>
  <c r="E95" i="1"/>
  <c r="E88" i="1"/>
  <c r="E79" i="1"/>
  <c r="F102" i="1"/>
  <c r="F101" i="1"/>
  <c r="F100" i="1"/>
  <c r="F99"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C5" i="4"/>
  <c r="C8" i="4"/>
  <c r="C11" i="4"/>
  <c r="C4" i="4"/>
  <c r="C15" i="4"/>
  <c r="C19" i="4"/>
  <c r="C22" i="4"/>
  <c r="C25" i="4"/>
  <c r="C30" i="4"/>
  <c r="C14" i="4"/>
  <c r="C43" i="4"/>
  <c r="C49" i="4"/>
  <c r="C55" i="4"/>
  <c r="C69" i="4"/>
  <c r="C54" i="4"/>
  <c r="C42" i="4"/>
  <c r="C76" i="4"/>
  <c r="C97" i="4"/>
  <c r="C3" i="4"/>
  <c r="C103" i="4"/>
  <c r="C107" i="4"/>
  <c r="C111" i="4"/>
  <c r="C102" i="4"/>
  <c r="C120" i="4"/>
  <c r="C123" i="4"/>
  <c r="C131" i="4"/>
  <c r="C135" i="4"/>
  <c r="C119" i="4"/>
  <c r="C137" i="4"/>
  <c r="C140" i="4"/>
  <c r="D11" i="4"/>
  <c r="E12" i="4"/>
  <c r="E13" i="4"/>
  <c r="E11" i="4"/>
  <c r="F12" i="4"/>
  <c r="D104" i="4"/>
  <c r="E104" i="4"/>
  <c r="E105" i="4"/>
  <c r="E106" i="4"/>
  <c r="E103" i="4"/>
  <c r="D108" i="4"/>
  <c r="E108" i="4"/>
  <c r="E109" i="4"/>
  <c r="E110" i="4"/>
  <c r="E107" i="4"/>
  <c r="E112" i="4"/>
  <c r="E113" i="4"/>
  <c r="D114" i="4"/>
  <c r="E114" i="4"/>
  <c r="E115" i="4"/>
  <c r="D116" i="4"/>
  <c r="E116" i="4"/>
  <c r="E117" i="4"/>
  <c r="E118" i="4"/>
  <c r="E111" i="4"/>
  <c r="E102" i="4"/>
  <c r="D103" i="4"/>
  <c r="D107" i="4"/>
  <c r="D111" i="4"/>
  <c r="D102" i="4"/>
  <c r="F10" i="4"/>
  <c r="D7" i="4"/>
  <c r="F7" i="4"/>
  <c r="E7" i="4"/>
  <c r="D26" i="4"/>
  <c r="D27" i="4"/>
  <c r="D23" i="4"/>
  <c r="D20" i="4"/>
  <c r="D17" i="4"/>
  <c r="D5" i="4"/>
  <c r="D8" i="4"/>
  <c r="D4" i="4"/>
  <c r="D16" i="4"/>
  <c r="D15" i="4"/>
  <c r="D19" i="4"/>
  <c r="D22" i="4"/>
  <c r="D28" i="4"/>
  <c r="D29" i="4"/>
  <c r="D25" i="4"/>
  <c r="D31" i="4"/>
  <c r="D32" i="4"/>
  <c r="D33" i="4"/>
  <c r="D30" i="4"/>
  <c r="D14" i="4"/>
  <c r="D44" i="4"/>
  <c r="D43" i="4"/>
  <c r="D50" i="4"/>
  <c r="D49" i="4"/>
  <c r="D56" i="4"/>
  <c r="D58" i="4"/>
  <c r="D59" i="4"/>
  <c r="D62" i="4"/>
  <c r="D67" i="4"/>
  <c r="D68" i="4"/>
  <c r="D55" i="4"/>
  <c r="D71" i="4"/>
  <c r="D69" i="4"/>
  <c r="D54" i="4"/>
  <c r="D42" i="4"/>
  <c r="D77" i="4"/>
  <c r="D78" i="4"/>
  <c r="D79" i="4"/>
  <c r="D89" i="4"/>
  <c r="D76" i="4"/>
  <c r="D101" i="4"/>
  <c r="D97" i="4"/>
  <c r="D3" i="4"/>
  <c r="D120" i="4"/>
  <c r="D124" i="4"/>
  <c r="D128" i="4"/>
  <c r="D129" i="4"/>
  <c r="D123" i="4"/>
  <c r="D131" i="4"/>
  <c r="D135" i="4"/>
  <c r="D119" i="4"/>
  <c r="D137" i="4"/>
  <c r="F137" i="4"/>
  <c r="E6" i="4"/>
  <c r="E5" i="4"/>
  <c r="E9" i="4"/>
  <c r="E10" i="4"/>
  <c r="E8" i="4"/>
  <c r="E4" i="4"/>
  <c r="E16" i="4"/>
  <c r="E17" i="4"/>
  <c r="E18" i="4"/>
  <c r="E15" i="4"/>
  <c r="E20" i="4"/>
  <c r="E21" i="4"/>
  <c r="E19" i="4"/>
  <c r="E23" i="4"/>
  <c r="E24" i="4"/>
  <c r="E22" i="4"/>
  <c r="E26" i="4"/>
  <c r="E27" i="4"/>
  <c r="E28" i="4"/>
  <c r="E29" i="4"/>
  <c r="E25" i="4"/>
  <c r="E31" i="4"/>
  <c r="E32" i="4"/>
  <c r="E33" i="4"/>
  <c r="E34" i="4"/>
  <c r="E35" i="4"/>
  <c r="E36" i="4"/>
  <c r="E37" i="4"/>
  <c r="E38" i="4"/>
  <c r="E39" i="4"/>
  <c r="E40" i="4"/>
  <c r="E41" i="4"/>
  <c r="E30" i="4"/>
  <c r="E14" i="4"/>
  <c r="E44" i="4"/>
  <c r="E45" i="4"/>
  <c r="E46" i="4"/>
  <c r="E47" i="4"/>
  <c r="E48" i="4"/>
  <c r="E43" i="4"/>
  <c r="E50" i="4"/>
  <c r="E51" i="4"/>
  <c r="E52" i="4"/>
  <c r="E53" i="4"/>
  <c r="E49" i="4"/>
  <c r="E56" i="4"/>
  <c r="E57" i="4"/>
  <c r="E58" i="4"/>
  <c r="E59" i="4"/>
  <c r="E60" i="4"/>
  <c r="E61" i="4"/>
  <c r="E62" i="4"/>
  <c r="E63" i="4"/>
  <c r="E64" i="4"/>
  <c r="E65" i="4"/>
  <c r="E66" i="4"/>
  <c r="E67" i="4"/>
  <c r="E68" i="4"/>
  <c r="E55" i="4"/>
  <c r="E70" i="4"/>
  <c r="E71" i="4"/>
  <c r="E72" i="4"/>
  <c r="E73" i="4"/>
  <c r="E74" i="4"/>
  <c r="E75" i="4"/>
  <c r="E69" i="4"/>
  <c r="E54" i="4"/>
  <c r="E42" i="4"/>
  <c r="E77" i="4"/>
  <c r="E78" i="4"/>
  <c r="E79" i="4"/>
  <c r="E80" i="4"/>
  <c r="E81" i="4"/>
  <c r="E82" i="4"/>
  <c r="E83" i="4"/>
  <c r="E84" i="4"/>
  <c r="E85" i="4"/>
  <c r="E86" i="4"/>
  <c r="E87" i="4"/>
  <c r="E88" i="4"/>
  <c r="E89" i="4"/>
  <c r="E90" i="4"/>
  <c r="E91" i="4"/>
  <c r="E92" i="4"/>
  <c r="E93" i="4"/>
  <c r="E94" i="4"/>
  <c r="E95" i="4"/>
  <c r="E96" i="4"/>
  <c r="E76" i="4"/>
  <c r="E98" i="4"/>
  <c r="E99" i="4"/>
  <c r="E101" i="4"/>
  <c r="E97" i="4"/>
  <c r="E3" i="4"/>
  <c r="E121" i="4"/>
  <c r="E122" i="4"/>
  <c r="E120" i="4"/>
  <c r="E124" i="4"/>
  <c r="E125" i="4"/>
  <c r="E126" i="4"/>
  <c r="E127" i="4"/>
  <c r="E128" i="4"/>
  <c r="E129" i="4"/>
  <c r="E130" i="4"/>
  <c r="E123" i="4"/>
  <c r="E132" i="4"/>
  <c r="E133" i="4"/>
  <c r="E134" i="4"/>
  <c r="E131" i="4"/>
  <c r="E136" i="4"/>
  <c r="E135" i="4"/>
  <c r="E119" i="4"/>
  <c r="E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1" i="4"/>
  <c r="F9" i="4"/>
  <c r="F8" i="4"/>
  <c r="F6" i="4"/>
  <c r="F5" i="4"/>
  <c r="F4" i="4"/>
  <c r="F3" i="4"/>
  <c r="E32" i="3"/>
  <c r="D32" i="3"/>
  <c r="C32" i="3"/>
  <c r="F33" i="3"/>
  <c r="E33" i="3"/>
  <c r="C11" i="3"/>
  <c r="C27" i="3"/>
  <c r="F4" i="3"/>
  <c r="D11" i="3"/>
  <c r="E11" i="3"/>
  <c r="F5" i="3"/>
  <c r="F6" i="3"/>
  <c r="F7" i="3"/>
  <c r="F8" i="3"/>
  <c r="F9" i="3"/>
  <c r="F10" i="3"/>
  <c r="F11" i="3"/>
  <c r="C28" i="3"/>
  <c r="C38" i="3"/>
  <c r="C17" i="3"/>
  <c r="D28" i="3"/>
  <c r="D38" i="3"/>
  <c r="D27" i="3"/>
  <c r="D17" i="3"/>
  <c r="E28" i="3"/>
  <c r="E38" i="3"/>
  <c r="E27" i="3"/>
  <c r="E17" i="3"/>
  <c r="F27" i="3"/>
  <c r="F17" i="3"/>
  <c r="C44" i="3"/>
  <c r="C18" i="3"/>
  <c r="D44" i="3"/>
  <c r="D18" i="3"/>
  <c r="E44" i="3"/>
  <c r="E18" i="3"/>
  <c r="F44" i="3"/>
  <c r="F18" i="3"/>
  <c r="C49" i="3"/>
  <c r="C54" i="3"/>
  <c r="C20" i="3"/>
  <c r="D49" i="3"/>
  <c r="D54" i="3"/>
  <c r="F54" i="3"/>
  <c r="F51" i="3"/>
  <c r="F52" i="3"/>
  <c r="F53" i="3"/>
  <c r="F50" i="3"/>
  <c r="F49" i="3"/>
  <c r="F46" i="3"/>
  <c r="F47" i="3"/>
  <c r="F48" i="3"/>
  <c r="F45" i="3"/>
  <c r="F43" i="3"/>
  <c r="F42" i="3"/>
  <c r="F40" i="3"/>
  <c r="F41" i="3"/>
  <c r="F39" i="3"/>
  <c r="F38" i="3"/>
  <c r="F35" i="3"/>
  <c r="F36" i="3"/>
  <c r="F37" i="3"/>
  <c r="F34" i="3"/>
  <c r="F32" i="3"/>
  <c r="F30" i="3"/>
  <c r="F31" i="3"/>
  <c r="F29" i="3"/>
  <c r="F28" i="3"/>
  <c r="F19" i="3"/>
  <c r="E49" i="3"/>
  <c r="E19" i="3"/>
  <c r="D19" i="3"/>
  <c r="C19" i="3"/>
  <c r="F20" i="3"/>
  <c r="E54" i="3"/>
  <c r="E20" i="3"/>
  <c r="D20" i="3"/>
  <c r="D103" i="1"/>
  <c r="D170" i="1"/>
  <c r="F170" i="1"/>
  <c r="D174" i="1"/>
  <c r="F174" i="1"/>
  <c r="F103" i="1"/>
  <c r="F4" i="1"/>
</calcChain>
</file>

<file path=xl/sharedStrings.xml><?xml version="1.0" encoding="utf-8"?>
<sst xmlns="http://schemas.openxmlformats.org/spreadsheetml/2006/main" count="530" uniqueCount="261">
  <si>
    <t>DF101</t>
  </si>
  <si>
    <t>DF102</t>
  </si>
  <si>
    <t>DF103</t>
  </si>
  <si>
    <t>Indemnités, primes et avantages</t>
  </si>
  <si>
    <t>DF201</t>
  </si>
  <si>
    <t>Fournitures et consommables de bureau</t>
  </si>
  <si>
    <t>DF202</t>
  </si>
  <si>
    <t>DF203</t>
  </si>
  <si>
    <t>Carburants et lubrifiants</t>
  </si>
  <si>
    <t>DF205</t>
  </si>
  <si>
    <t>DF206</t>
  </si>
  <si>
    <t>DF301</t>
  </si>
  <si>
    <t>DF302</t>
  </si>
  <si>
    <t>DF304</t>
  </si>
  <si>
    <t>DF311</t>
  </si>
  <si>
    <t>DF321</t>
  </si>
  <si>
    <t>DF322</t>
  </si>
  <si>
    <t>DF401</t>
  </si>
  <si>
    <t>DF402</t>
  </si>
  <si>
    <t>DF404</t>
  </si>
  <si>
    <t>DI102</t>
  </si>
  <si>
    <t>DI202</t>
  </si>
  <si>
    <t>DI301</t>
  </si>
  <si>
    <t>DI302</t>
  </si>
  <si>
    <t>DI303</t>
  </si>
  <si>
    <t>DI304</t>
  </si>
  <si>
    <t>DI305</t>
  </si>
  <si>
    <t>DM101</t>
  </si>
  <si>
    <t>DM103</t>
  </si>
  <si>
    <t>DM201</t>
  </si>
  <si>
    <t>DM301</t>
  </si>
  <si>
    <t>DM302</t>
  </si>
  <si>
    <t>DM303</t>
  </si>
  <si>
    <t>DM401</t>
  </si>
  <si>
    <t>Redevances Centrale Pharmaceutique d’Achat (CPA)</t>
  </si>
  <si>
    <t xml:space="preserve">I. </t>
  </si>
  <si>
    <t>DÉPENSES DE FONCTIONNEMENT (DF)</t>
  </si>
  <si>
    <t xml:space="preserve">1. </t>
  </si>
  <si>
    <t>Charges du personnel (DF1)</t>
  </si>
  <si>
    <t xml:space="preserve">2. </t>
  </si>
  <si>
    <t>Biens et services (DF2)</t>
  </si>
  <si>
    <t xml:space="preserve">3. </t>
  </si>
  <si>
    <t>Formations, missions, ateliers et sensibilisation (DF3)</t>
  </si>
  <si>
    <t xml:space="preserve">3.1 </t>
  </si>
  <si>
    <t xml:space="preserve">3.2 </t>
  </si>
  <si>
    <t xml:space="preserve">3.3 </t>
  </si>
  <si>
    <t xml:space="preserve">4. </t>
  </si>
  <si>
    <t>Appuis institutionnels (DF4)</t>
  </si>
  <si>
    <t>II.</t>
  </si>
  <si>
    <t xml:space="preserve"> INVESTISSEMENTS ET ÉQUIPEMENTS (DI)</t>
  </si>
  <si>
    <t>Constructions et aménagements (DI1)</t>
  </si>
  <si>
    <t>Mobilier de bureau (DI2)</t>
  </si>
  <si>
    <t>Équipements informatiques et techniques (DI3)</t>
  </si>
  <si>
    <t xml:space="preserve">III. </t>
  </si>
  <si>
    <t>MÉDICAMENTS ET INTRANTS (DM)</t>
  </si>
  <si>
    <t>Médicaments essentiels (DM1)</t>
  </si>
  <si>
    <t>Intrants médicaux consommables (DM2)</t>
  </si>
  <si>
    <t>Redevances et achats auprès de la Centrale Pharmaceutique (DM4)</t>
  </si>
  <si>
    <t>A1</t>
  </si>
  <si>
    <t>A2</t>
  </si>
  <si>
    <t>A3</t>
  </si>
  <si>
    <t>A4</t>
  </si>
  <si>
    <t>A5</t>
  </si>
  <si>
    <t>TOTAL</t>
  </si>
  <si>
    <t>CREDITS OUVERT</t>
  </si>
  <si>
    <t>LIGNES DE DEPENSES</t>
  </si>
  <si>
    <t>ENGAGES</t>
  </si>
  <si>
    <t>DISPONIBLES</t>
  </si>
  <si>
    <t xml:space="preserve">Rémunérations du personnel </t>
  </si>
  <si>
    <t>Paiement des salaires des medecins coachs</t>
  </si>
  <si>
    <t>primes de pointages et conceptions de budgets 2026</t>
  </si>
  <si>
    <t>DF104</t>
  </si>
  <si>
    <t>DF108</t>
  </si>
  <si>
    <t>Piéces détachées des véhicules</t>
  </si>
  <si>
    <t xml:space="preserve">Entretien et réparation des véhicules </t>
  </si>
  <si>
    <t>Maintenance de l'électricité, climatisation, plomberie, froid….</t>
  </si>
  <si>
    <t>Maintenance des plateformes GeneXpert pour le diagnostic de la Charge virale</t>
  </si>
  <si>
    <t>Contrat de gardiennage</t>
  </si>
  <si>
    <t>Contrat de nettoyage et ramassage des ordures</t>
  </si>
  <si>
    <t>Elaborer les directives de PEC du VIH pediatrique ainsi que les modules de formation</t>
  </si>
  <si>
    <t>Elaborer un algorithme simplifié de prise en charge  nutritionnelle</t>
  </si>
  <si>
    <t xml:space="preserve">Evaluation de la qualité de prise en charge des PVV dans 15 sites  de prise en charge à Ndjamena </t>
  </si>
  <si>
    <t xml:space="preserve">Etude sur la resistance du VIH  face aux ARV </t>
  </si>
  <si>
    <t>Missions et supervisions</t>
  </si>
  <si>
    <t xml:space="preserve">Organiser des missions de supervisions trimestrielles pour le suivi des activités communautaires et le renforcement des capacités des clubs des ados et jeunes dans les villes de N’Djamena, Moundou, Bol, Mongo, Abéché, Pala, Doba, Koumra, Lai et Sarh en trois (3) axes pendant dix (10) jours avec trois (3) cadres par axe. </t>
  </si>
  <si>
    <t>Organiser des missions trimestrielles de supervision formatives intégrées des activités des sites PEC  VIH/IST/ Hépatites, l'harmonisation des données de la charge virale dans les sites PEC et les laboratoires et l'utilisation du tracker VIH et DHIS2</t>
  </si>
  <si>
    <t>Assurer la supervision régulière et facilitante des acteurs de mise en œuvre du niveau central vers le niveau intermédiaire</t>
  </si>
  <si>
    <t>Organiser des missions de supervision trimestrielle des CDV du niveau central vers les provinces</t>
  </si>
  <si>
    <t xml:space="preserve">3.4 </t>
  </si>
  <si>
    <t xml:space="preserve"> Ateliers et seminiares</t>
  </si>
  <si>
    <t xml:space="preserve">Organiser l'atelier de validation de la stratégie ciblant les hommes, les enfants, les adolescents et jeunes dans les provinces  priorisées  </t>
  </si>
  <si>
    <t>Organiser l'atelier de validation du plan intégré de communication ( Nutrition, VIH, Hépatites, IST, TB ) et assurer sa mise en œuvre en faisant la promotion  de I=I  indétectable = non transmissible (« U=U »), la sécurité et la confidentialité des données, les connaissances sur les co-infections et les comorbidités chez les personnes vivant avec le VIH, éducation nutritionnelle aux PVV, aux coinfections VIH/Hépatites/Diabètes/TB au niveau communautaire</t>
  </si>
  <si>
    <t>Organiser l'atelier de validation des guides sur l'annonce des résultats, l'accompagnement psychosocial, éducation thérapeutique et la transition des enfants</t>
  </si>
  <si>
    <t xml:space="preserve">Elaborer un manuel de procédure opérationnelle pour la prévention et la prise en charge  du VIH avancé (admission, référence, suivi, sortie, référence et contre référence) </t>
  </si>
  <si>
    <t>Recruter un Consultant pour l'Elaboration d'un Plan Integré de Communication</t>
  </si>
  <si>
    <t>Organiser des rencontres mensuelles  des clubs des enfants et adolescents vivant avec le VIH dans les provinces  priorisées (observance, éducation thérapeutique, soutien psychologique)</t>
  </si>
  <si>
    <t>Organiser des réunions d'intégration du dépistage du VIH chez les enfants vus en  consultations  externes, hospitalisation ainsi que dans les unités nutritionnelles, vaccination, pédiatrie (enfants) dans les provinces  priorisées</t>
  </si>
  <si>
    <t>Organiser une revue annuelle nationale bilan et de concertation sur le passage à l'échelle de la CV et EID</t>
  </si>
  <si>
    <t>Elaboration du circuit des patients ( tri, répartition en fonction du tableau clinique) des sites de référence</t>
  </si>
  <si>
    <t>Elaborer les guides sur l'annonce des résultats, l'accompagnement psychosocial, éducation thérapeutique et la transition des enfants</t>
  </si>
  <si>
    <t>Elaboration du circuit des patients ( tri, répartition en fonction du tableau clinique) des sites secondaires</t>
  </si>
  <si>
    <t>Développer une base de données Excel pour le suivi des renouvellements des TARV en pharmacie et former le personnel du PSLS.</t>
  </si>
  <si>
    <t xml:space="preserve">Prestations de services, Etudes </t>
  </si>
  <si>
    <t>Former à l’étranger : 02  personne en communication de devellopement sanitaire</t>
  </si>
  <si>
    <t>Former les laboratins et techniciens de laboratoire sur les dépistages différencié du VIH, des hépatites et IST ainsi que le 3e test</t>
  </si>
  <si>
    <t>Former les adolescents et jeunes VIH+ leaders pour la mise en place du traitement litteracy et l'animation des groupes de paroles, rencontres communautaires des enfants/adolescents et les activités de pairs éducation dans les provinces  priorisées</t>
  </si>
  <si>
    <t>Formations et renforcement des capacités</t>
  </si>
  <si>
    <t xml:space="preserve">Former  01   agent de service recherche sur la méthodologie de la recherche </t>
  </si>
  <si>
    <t xml:space="preserve">Organiser une formation  sur la base des modules de formations actualisées sur le VIH , les hépatites Virales et les IST aux Nouveaux agents affectés ( Nombre à definir )  au PSLS et APMS à Mara pendant 4 jours </t>
  </si>
  <si>
    <t>Former a l'etranger 02 personnes en suivi evaluation et statistiques</t>
  </si>
  <si>
    <t>Faire participer 03 cadres du SE aux conferences internationales</t>
  </si>
  <si>
    <t>Former sur la plateforme DHIS 2</t>
  </si>
  <si>
    <t xml:space="preserve">Former  50  personnes en trois (3) jours du niveau intermediaire et niveau central sur l'estimation des cibles, analyse et calcul des indicateurs du VIH  </t>
  </si>
  <si>
    <t xml:space="preserve">Organiser 02 reunions d'analyse et de validation  sur la plate forme DHIS2  en quatre 04 pools </t>
  </si>
  <si>
    <t xml:space="preserve">Organiser un atelier d'evaluation du PAO de 2025 et validation du PAO_2026 pendant 3 jours en dehors de N'Djamena </t>
  </si>
  <si>
    <t xml:space="preserve">Organiser un atelier de 5 jours regroupant 35 participants sur l'utilisation et l'analyse de la plate forme DHSI2 </t>
  </si>
  <si>
    <t>Organiser la Journée Mondiale de lutte contre le Sida, Edition 2025</t>
  </si>
  <si>
    <t>Organiser la Journée Mondiale de lutte contre les Hépatites, Edition 2025</t>
  </si>
  <si>
    <t>Participer à la Semaine Nationale de la Femme Tchadienne, Edition 2025</t>
  </si>
  <si>
    <t>Mettre à jour  et alimenter le site WEB pour le Programme</t>
  </si>
  <si>
    <t>Editer, vulgariser les affiches sur l'algorithme à 3 test à l'attention  des prestataires</t>
  </si>
  <si>
    <t>Confectionner des affiches murales pour les schémas thérapeutiques pour tous les sites PEC/PTME</t>
  </si>
  <si>
    <t xml:space="preserve">Produire et diffuser les outils de communication (Nutrition, VIH, Hépatites, IST, TB) en faisant la promotion de I=I indétectable = non transmissible (« U=U »), la sécurité et la confidentialité des données, les connaissances sur les co-infections et les comorbidités chez les personnes vivant avec le VIH, éducation nutritionnelle aux PVV </t>
  </si>
  <si>
    <t xml:space="preserve">Produire et diffuser les supports d’ informations pour les accompagnants, patients et les soignants </t>
  </si>
  <si>
    <t xml:space="preserve">Reproduire les messages (1000) elabores pour la promotion en matiere d'education nutritionnelle aux PVV, aux coinfections VIH/Hepatites/Diabetes/TB                                               </t>
  </si>
  <si>
    <t>Reproduire et diffuser (3000) guides simplifiés du PSN   Nutrition et protection sociale</t>
  </si>
  <si>
    <t>Reproduire en papier glacé le guide de prise en charge nutritionnelle en 500 exemplaires (Francais et Arabe)</t>
  </si>
  <si>
    <t>Former les mentors les (prestataires) sur l'education nutritionnelle des PVV dans les sites PEC VIH/Hepatites</t>
  </si>
  <si>
    <t>Faire participer 2 personnes  a une conférence internationale sur la  PEC nutritionnelle et protection sociale des PVV</t>
  </si>
  <si>
    <t xml:space="preserve"> formation des formateurs sur le module de formation en PEC nutrition et protetion sociale regroupants 40 participants pour 3 jours à BAKARA</t>
  </si>
  <si>
    <t>Faire participer 2 personne du service PEC Hepatites  a une conférence internationale sur les Hepatites</t>
  </si>
  <si>
    <t>Faire participer 2 personnes à un voyage d'echange et d'experience a l'exterieur(Rwanda) sur la prise en charge pediatrique (VIH /IST /HEPATITES )</t>
  </si>
  <si>
    <t>Former 02  personnes en DU sur la PEC globale VIH/IST</t>
  </si>
  <si>
    <t>Faire participer 2 personnes du service PEC VIH/IST  à deux (02) conférence (VIH /IST )</t>
  </si>
  <si>
    <t>Sensibilisation, communication, reprographies</t>
  </si>
  <si>
    <t>Confection des ordonnanciers</t>
  </si>
  <si>
    <t>Registre Laboratoire (100 pages)</t>
  </si>
  <si>
    <t>Registre pharmacie (100 pages)</t>
  </si>
  <si>
    <t>Registre de dépistage volontaire (100 pages)</t>
  </si>
  <si>
    <t>Dossier patient (100 pages)</t>
  </si>
  <si>
    <t>Fiche de pointage par régime therapeutique</t>
  </si>
  <si>
    <t>Reproduction des bulletins d'analyse de charge virale afin de disposé dans la pharmacie et le sites de PEC</t>
  </si>
  <si>
    <t>Confection des SOP pour le dépistage du VIH</t>
  </si>
  <si>
    <t>Reproduction des ordonanciers hépatite B et C</t>
  </si>
  <si>
    <t>Forfait communication pour la CV des sites de N'djamena</t>
  </si>
  <si>
    <t>Organisation de 2 caravances de C.V  a N'Djamena et a Moundou</t>
  </si>
  <si>
    <t>Former à l’étranger :   02 personne en Du sur leardership</t>
  </si>
  <si>
    <t>Former 02 cadres en Suivi Evaluation des projets et programmes</t>
  </si>
  <si>
    <t>Former 01 cadre en Gestion finanaciere et  Comptable</t>
  </si>
  <si>
    <t xml:space="preserve">Former à l’étranger :   03 personnes dans le cadre de la gestion de programmes </t>
  </si>
  <si>
    <t>Confectionner le KAKEMENO relatif aux algorithmes theurapetiques à l'attention des prescripteurs</t>
  </si>
  <si>
    <t xml:space="preserve">Organiser un atelier de validation du guide simplifié sur la prise en  charge VIH/IST </t>
  </si>
  <si>
    <t>Organiser des suivis specifiques des sites de PECP dans la ville N'Djamena  en 7 jours  avec 3 cadres (2PSLSH, 1 PTME) par trimestre</t>
  </si>
  <si>
    <t>formation des formateurs sur la  PEC Hepatites virales de 25 personnes</t>
  </si>
  <si>
    <t>Apporter Trimestriellement un appui pour le fonctionnement au Centre Espoir de Vie</t>
  </si>
  <si>
    <t>Equiper en materiel  le Centre Espoir de Vie</t>
  </si>
  <si>
    <t xml:space="preserve">Appui aux institutions </t>
  </si>
  <si>
    <t>Appui au fonctionnement des clubs des adolescent.e.s et jeunes pour la mise en œuvre des activités communautaires</t>
  </si>
  <si>
    <t>Apporter un appui au fonctionnement ( ressources humaines, matériels et programmatique) de l'APMS</t>
  </si>
  <si>
    <t>Appuyer le fonctionnement du PSLSH</t>
  </si>
  <si>
    <t xml:space="preserve">Extention du batiment de 08 pieces </t>
  </si>
  <si>
    <t>Installation des equipements de videosurveillance</t>
  </si>
  <si>
    <t>Construction d'un entrepot pour la conservation des intrants (APMS)</t>
  </si>
  <si>
    <t>Construction d'une salle de réunion (APMS)</t>
  </si>
  <si>
    <t>Moyens roulants (DI4)</t>
  </si>
  <si>
    <t xml:space="preserve">Bureau avec retour </t>
  </si>
  <si>
    <t>Climatiseurs Split</t>
  </si>
  <si>
    <t>Table mobile (APMS activités en strategie avancée )</t>
  </si>
  <si>
    <t>Ordinateurs fixe complet</t>
  </si>
  <si>
    <t>Ordinateurs Portable de Coordination</t>
  </si>
  <si>
    <t>Ordinateurs Portable (APMS)</t>
  </si>
  <si>
    <t>Ordinateur fixe complet (APMS)</t>
  </si>
  <si>
    <t>Ordinateur pour la gestion des stocks et de la file active au niveau des sites PEC</t>
  </si>
  <si>
    <t>Médicaments ARV sous financement etat</t>
  </si>
  <si>
    <t>Médicaments par Lot sous financement Etat</t>
  </si>
  <si>
    <r>
      <t xml:space="preserve">Réactifs de dépistage </t>
    </r>
    <r>
      <rPr>
        <sz val="12"/>
        <color rgb="FF000000"/>
        <rFont val="Arial"/>
        <family val="2"/>
      </rPr>
      <t>VIH (determine, bioline, statpak) F Etat</t>
    </r>
  </si>
  <si>
    <t xml:space="preserve">Réactifs charge virale HBS </t>
  </si>
  <si>
    <t>Réactifs charge virale cartouche  HIV</t>
  </si>
  <si>
    <t>Réactifs de dépistage  Syphilis</t>
  </si>
  <si>
    <t>Matériels médicaux  (DM3)</t>
  </si>
  <si>
    <t>Produits riches   en micronutriments et vitamines au profit des personnes vivant avce le VIH (Spiruline)</t>
  </si>
  <si>
    <t>Disponibiliser le lait F75 et F100 pour la prise en charge nutritionnelle  des PVV et les malades coinfectés à un stade avancé dans les hopitaux du jour pilote</t>
  </si>
  <si>
    <t>Achats des glacieres pour assurer le transport des echantillons pour la realisation de la charge virale dans la ville de Ndjamena et ainsi que les provinces</t>
  </si>
  <si>
    <t>Transport echantillons CV N'djamena</t>
  </si>
  <si>
    <t>Transport echantillons CV Provinces</t>
  </si>
  <si>
    <t>Acquisition d'un logiciel de suivi de mouvement des stocks des intrants VIH au niveau du PSLSH/IST et formation de 12 agents</t>
  </si>
  <si>
    <t>Contrat animateur socioculturel (APMS)</t>
  </si>
  <si>
    <t>Produits d’entretien et subsistance</t>
  </si>
  <si>
    <t>Subsistance Trimestrielle pour le personnel (sucre,lait,café,the etc…...)</t>
  </si>
  <si>
    <t xml:space="preserve">Promouvoir les différentes stratégies de dépistage différenciée en formant les paramédicaux  sur le dépistage différencié y compris un coaching sur site des prestataires sur le dépistage différencié des populations clés  </t>
  </si>
  <si>
    <t>Actualiser les outils de collecte des données</t>
  </si>
  <si>
    <t>Appui à la Mise en place les services différenciés pour les enfants (RV harmonisé, consultation de couple mère-enfant, M3 chez les enfants avec CV indétectable, dépistage des cas index, stratégie des mères mentor pour l’identification active des enfants)</t>
  </si>
  <si>
    <t xml:space="preserve">Développer et mettre en œuvre une stratégie ciblant les hommes, les enfants, les adolescents et jeunes dans les provinces  priorisées  </t>
  </si>
  <si>
    <t>Organiser des coaching des prestataires dans les sites (sorties de tutorat et de coaching pour la mise en œuvre de la délégation des taches, le renforcement de la PEC, le suivi biologique, PEC des coinfections, la vérification des dossiers patients sous ARV et autres outils et les mettre à jour, 
mettre en place un système gestion des rendez-vous pour la réalisation et le suivi de la CV, appuyer les prestataires dans d’identification et dépistage des enfants exposés et de la fratrie des personnes sous ARV)</t>
  </si>
  <si>
    <t>Payer l'assurance et les frais administratifs des véhicule 4x4 pour la supervision du PSLSH/IST</t>
  </si>
  <si>
    <t>Assurer la connexion internet pour la saisie des données indiivuelle TB dans le tracker VIH  menssulle</t>
  </si>
  <si>
    <t xml:space="preserve">Réaliser le monitorage semestriel de la file active dans les structures de PECP </t>
  </si>
  <si>
    <t xml:space="preserve">Renforcer la fonctionnalité du groupe de travail sur la prise en charge </t>
  </si>
  <si>
    <t xml:space="preserve">TOTAL </t>
  </si>
  <si>
    <t>Assurance  maladie du Personnel PSLSH/IST</t>
  </si>
  <si>
    <t>Formation et renforcment du personnels adminstratives</t>
  </si>
  <si>
    <t>Formation et renforcment du personnels Soignant</t>
  </si>
  <si>
    <t>Entretien, maintenance équipements et location</t>
  </si>
  <si>
    <t>AutreRedevances</t>
  </si>
  <si>
    <t>Etudes, archivages et support comptabiliter et finances</t>
  </si>
  <si>
    <t>TAUX D'EXECUTION</t>
  </si>
  <si>
    <t>2.1</t>
  </si>
  <si>
    <t>2.2</t>
  </si>
  <si>
    <t>2.3</t>
  </si>
  <si>
    <t>2.4</t>
  </si>
  <si>
    <t xml:space="preserve">CREDITS </t>
  </si>
  <si>
    <t>EXECUTION</t>
  </si>
  <si>
    <t>Primes, Performances, indemnités et sijetions</t>
  </si>
  <si>
    <t>1.1</t>
  </si>
  <si>
    <t>Salaires du personnal</t>
  </si>
  <si>
    <t>1.3</t>
  </si>
  <si>
    <t>Assurances maladies et assistance aux personnels</t>
  </si>
  <si>
    <t>1.2</t>
  </si>
  <si>
    <t>Primes, Performances au terrains, indemnités et sujetions</t>
  </si>
  <si>
    <t>4.</t>
  </si>
  <si>
    <t xml:space="preserve">5. </t>
  </si>
  <si>
    <t>CADRE D'EXECUTION  BUDGÉTAIRE PSLSH/IST 2025</t>
  </si>
  <si>
    <t>CADRE D'EXECUTION BUDGÉTAIRE PSLSH/IST 2025 PAR GRANDE RUBRIQUE</t>
  </si>
  <si>
    <t>INVESTISSEMENTS ET ÉQUIPEMENTS (DI)</t>
  </si>
  <si>
    <t>Fonctionnement (FCFA)</t>
  </si>
  <si>
    <t>Investissement (FCFA)</t>
  </si>
  <si>
    <t>Médicaments (FCFA)</t>
  </si>
  <si>
    <t>Total (FCFA)</t>
  </si>
  <si>
    <t>CREDITS (FCFA)</t>
  </si>
  <si>
    <t>ENGAGES (FCFA)</t>
  </si>
  <si>
    <t xml:space="preserve">BUDGET PRÉVISIONNEL PAR ACTION (PAO)  </t>
  </si>
  <si>
    <t>Rubrique du PAO</t>
  </si>
  <si>
    <t>Gouvernance de la santé</t>
  </si>
  <si>
    <t>Prestation de services</t>
  </si>
  <si>
    <t>Système d’information sanitaire</t>
  </si>
  <si>
    <t>Équipement et infrastructure</t>
  </si>
  <si>
    <t>Ressources humaines</t>
  </si>
  <si>
    <t>A6</t>
  </si>
  <si>
    <t>Prestation de soin de qualité, prévention et promotion de la santé</t>
  </si>
  <si>
    <t>A7</t>
  </si>
  <si>
    <t>Accès aux médicaments, intrants et services de santé essentiels</t>
  </si>
  <si>
    <t>Refonte le manuel de procedures admnistratives, financieres, comptables</t>
  </si>
  <si>
    <t>Fournitures et consombales de bureau</t>
  </si>
  <si>
    <t>Fournitures et consombales de informatique</t>
  </si>
  <si>
    <t>Materiels et consommables diverses</t>
  </si>
  <si>
    <t>Produits d’entretien</t>
  </si>
  <si>
    <t>Carburant personnels PslsH</t>
  </si>
  <si>
    <t>Lubrifiants et entretiens moyens roulants</t>
  </si>
  <si>
    <t>Réactifs de dépistage  Hepatites B,C</t>
  </si>
  <si>
    <t>CADRE D'EXECUTION  BUDGÉTAIRE CONSOLIDES DU PSLSH/IST 2025</t>
  </si>
  <si>
    <t>PART DE L'ETAT - FONCTIONNEMENT EXERCICE 2025</t>
  </si>
  <si>
    <t>PART DE L'ETAT - COMPTE TRESOR EXERCICE 2025 (Charge Personnel)</t>
  </si>
  <si>
    <t>PART DE L'ETAT - COMPTE MEDICAMENT EXERCICE 2025 (ARV)</t>
  </si>
  <si>
    <t xml:space="preserve">PART PARTENAIRE  - SUBVENTION GC7 EXERCICE 2025 </t>
  </si>
  <si>
    <t>Assurer le règlement des salaires des chauffeurs du PSLSH</t>
  </si>
  <si>
    <t>  Assurer régulièrement les primes de performances mensuels aux agents du PSLSH/PTME chaque année</t>
  </si>
  <si>
    <t>Assurer l'assurance maladie du personnel de PSLSH</t>
  </si>
  <si>
    <t>SYNTHESE D'EXECUTION  BUDGÉTAIRE CONSOLIDES DU PSLSH/IST 2025</t>
  </si>
  <si>
    <t>PART PARTENAIRE  - SUBVENTION GC7 EXERCICE 2025</t>
  </si>
  <si>
    <t>Livraison des cartouches Genexpert</t>
  </si>
  <si>
    <t>Frais Ateliers de validation du plan de communication PSLS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</si>
</sst>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_€"/>
    <numFmt numFmtId="165" formatCode="_(* #,##0_);_(* \(#,##0\);_(* &quot;-&quot;_);_(@_)"/>
  </numFmts>
  <fonts count="22" x14ac:knownFonts="1">
    <font>
      <sz val="11"/>
      <color theme="1"/>
      <name val="Calibri"/>
      <family val="2"/>
      <scheme val="minor"/>
    </font>
    <font>
      <b/>
      <sz val="11"/>
      <color theme="1"/>
      <name val="Calibri"/>
      <family val="2"/>
      <scheme val="minor"/>
    </font>
    <font>
      <sz val="11"/>
      <color theme="1"/>
      <name val="Arial"/>
      <family val="2"/>
    </font>
    <font>
      <b/>
      <sz val="14"/>
      <color theme="1"/>
      <name val="Arial"/>
      <family val="2"/>
    </font>
    <font>
      <sz val="14"/>
      <color theme="1"/>
      <name val="Arial"/>
      <family val="2"/>
    </font>
    <font>
      <sz val="14"/>
      <color theme="1"/>
      <name val="Calibri"/>
      <family val="2"/>
      <scheme val="minor"/>
    </font>
    <font>
      <b/>
      <sz val="11"/>
      <color theme="1"/>
      <name val="Arial"/>
      <family val="2"/>
    </font>
    <font>
      <sz val="11"/>
      <color theme="1"/>
      <name val="Calibri"/>
      <family val="2"/>
      <scheme val="minor"/>
    </font>
    <font>
      <sz val="12"/>
      <color rgb="FF000000"/>
      <name val="Arial"/>
      <family val="2"/>
    </font>
    <font>
      <sz val="12"/>
      <name val="Arial"/>
      <family val="2"/>
    </font>
    <font>
      <b/>
      <sz val="12"/>
      <color theme="1"/>
      <name val="Arial"/>
      <family val="2"/>
    </font>
    <font>
      <sz val="12"/>
      <color theme="1"/>
      <name val="Arial"/>
      <family val="2"/>
    </font>
    <font>
      <i/>
      <sz val="12"/>
      <color theme="1"/>
      <name val="Arial"/>
      <family val="2"/>
    </font>
    <font>
      <b/>
      <sz val="14"/>
      <color theme="0"/>
      <name val="Arial"/>
      <family val="2"/>
    </font>
    <font>
      <sz val="11"/>
      <name val="Arial"/>
      <family val="2"/>
    </font>
    <font>
      <sz val="11"/>
      <color theme="1"/>
      <name val="Times New Roman"/>
      <family val="1"/>
    </font>
    <font>
      <b/>
      <sz val="11"/>
      <color theme="1"/>
      <name val="Times New Roman"/>
      <family val="1"/>
    </font>
    <font>
      <b/>
      <sz val="14"/>
      <color theme="1"/>
      <name val="Times New Roman"/>
      <family val="1"/>
    </font>
    <font>
      <b/>
      <sz val="13.5"/>
      <color theme="1"/>
      <name val="Times New Roman"/>
      <family val="1"/>
    </font>
    <font>
      <sz val="11"/>
      <color rgb="FFFF0000"/>
      <name val="Calibri"/>
      <family val="2"/>
      <scheme val="minor"/>
    </font>
    <font>
      <i/>
      <sz val="12"/>
      <name val="Arial"/>
      <family val="2"/>
    </font>
    <font>
      <b/>
      <sz val="16"/>
      <color theme="1"/>
      <name val="Arial"/>
      <family val="2"/>
    </font>
  </fonts>
  <fills count="10">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5" fontId="7" fillId="0" borderId="0" applyFont="0" applyFill="0" applyBorder="0" applyAlignment="0" applyProtection="0"/>
    <xf numFmtId="9" fontId="7" fillId="0" borderId="0" applyFont="0" applyFill="0" applyBorder="0" applyAlignment="0" applyProtection="0"/>
  </cellStyleXfs>
  <cellXfs count="171">
    <xf numFmtId="0" fontId="0" fillId="0" borderId="0" xfId="0"/>
    <xf numFmtId="0" fontId="2" fillId="0" borderId="0" xfId="0" applyFont="1"/>
    <xf numFmtId="0" fontId="4" fillId="0" borderId="0" xfId="0" applyFont="1"/>
    <xf numFmtId="0" fontId="5" fillId="0" borderId="0" xfId="0" applyFont="1"/>
    <xf numFmtId="0" fontId="1" fillId="0" borderId="0" xfId="0" applyFont="1"/>
    <xf numFmtId="0" fontId="9" fillId="0" borderId="2" xfId="0" applyFont="1" applyBorder="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wrapText="1"/>
    </xf>
    <xf numFmtId="0" fontId="12" fillId="0" borderId="1" xfId="0" applyFont="1" applyBorder="1" applyAlignment="1">
      <alignment wrapText="1"/>
    </xf>
    <xf numFmtId="0" fontId="12" fillId="0" borderId="1" xfId="0" applyFont="1" applyBorder="1" applyAlignment="1">
      <alignment vertical="center" wrapText="1"/>
    </xf>
    <xf numFmtId="3" fontId="11" fillId="0" borderId="1" xfId="0" applyNumberFormat="1" applyFont="1" applyBorder="1" applyAlignment="1">
      <alignment horizontal="center" vertical="center"/>
    </xf>
    <xf numFmtId="3" fontId="12" fillId="0" borderId="1" xfId="0" applyNumberFormat="1" applyFont="1" applyBorder="1" applyAlignment="1">
      <alignment horizontal="center" vertical="center"/>
    </xf>
    <xf numFmtId="164" fontId="10" fillId="0" borderId="1" xfId="0" applyNumberFormat="1" applyFont="1" applyBorder="1" applyAlignment="1">
      <alignment horizontal="center" vertical="center" wrapText="1"/>
    </xf>
    <xf numFmtId="3" fontId="11" fillId="0" borderId="0" xfId="0" applyNumberFormat="1" applyFont="1" applyAlignment="1">
      <alignment horizontal="center" vertical="center"/>
    </xf>
    <xf numFmtId="164" fontId="11" fillId="0" borderId="1" xfId="0" applyNumberFormat="1" applyFont="1" applyBorder="1" applyAlignment="1">
      <alignment horizontal="center" vertical="center" wrapText="1"/>
    </xf>
    <xf numFmtId="3" fontId="0" fillId="0" borderId="0" xfId="0" applyNumberFormat="1" applyAlignment="1">
      <alignment horizontal="center" vertical="center"/>
    </xf>
    <xf numFmtId="0" fontId="10" fillId="2" borderId="1" xfId="0" applyFont="1" applyFill="1" applyBorder="1" applyAlignment="1">
      <alignment vertical="center"/>
    </xf>
    <xf numFmtId="3" fontId="10" fillId="2" borderId="1" xfId="0" applyNumberFormat="1" applyFont="1" applyFill="1" applyBorder="1" applyAlignment="1">
      <alignment horizontal="center" vertical="center"/>
    </xf>
    <xf numFmtId="0" fontId="10" fillId="3" borderId="1" xfId="0" applyFont="1" applyFill="1" applyBorder="1" applyAlignment="1">
      <alignment vertical="center" wrapText="1"/>
    </xf>
    <xf numFmtId="0" fontId="10" fillId="3" borderId="1" xfId="0" applyFont="1" applyFill="1" applyBorder="1" applyAlignment="1">
      <alignment vertical="center"/>
    </xf>
    <xf numFmtId="3" fontId="10" fillId="3" borderId="1" xfId="0" applyNumberFormat="1" applyFont="1" applyFill="1" applyBorder="1" applyAlignment="1">
      <alignment horizontal="center" vertical="center"/>
    </xf>
    <xf numFmtId="0" fontId="10" fillId="4" borderId="1" xfId="0" applyFont="1" applyFill="1" applyBorder="1" applyAlignment="1">
      <alignment vertical="center"/>
    </xf>
    <xf numFmtId="3" fontId="11" fillId="4" borderId="1" xfId="0" applyNumberFormat="1" applyFont="1" applyFill="1" applyBorder="1" applyAlignment="1">
      <alignment horizontal="center" vertical="center"/>
    </xf>
    <xf numFmtId="0" fontId="10" fillId="6" borderId="1" xfId="0" applyFont="1" applyFill="1" applyBorder="1" applyAlignment="1">
      <alignment vertical="center"/>
    </xf>
    <xf numFmtId="0" fontId="10" fillId="5" borderId="1" xfId="0" applyFont="1" applyFill="1" applyBorder="1"/>
    <xf numFmtId="3" fontId="10" fillId="5" borderId="1" xfId="0" applyNumberFormat="1" applyFont="1" applyFill="1" applyBorder="1" applyAlignment="1">
      <alignment horizontal="center" vertical="center"/>
    </xf>
    <xf numFmtId="0" fontId="10" fillId="5" borderId="1" xfId="0" applyFont="1" applyFill="1" applyBorder="1" applyAlignment="1">
      <alignment horizontal="center"/>
    </xf>
    <xf numFmtId="3" fontId="10" fillId="4" borderId="1" xfId="0" applyNumberFormat="1" applyFont="1" applyFill="1" applyBorder="1" applyAlignment="1">
      <alignment horizontal="center" vertical="center"/>
    </xf>
    <xf numFmtId="164" fontId="11" fillId="0" borderId="1" xfId="0" applyNumberFormat="1" applyFont="1" applyBorder="1" applyAlignment="1">
      <alignment horizontal="center" vertical="center"/>
    </xf>
    <xf numFmtId="3" fontId="10" fillId="6" borderId="1" xfId="0" applyNumberFormat="1" applyFont="1" applyFill="1" applyBorder="1" applyAlignment="1">
      <alignment horizontal="center" vertical="center"/>
    </xf>
    <xf numFmtId="3" fontId="11" fillId="0" borderId="1" xfId="0" applyNumberFormat="1" applyFont="1" applyBorder="1" applyAlignment="1">
      <alignment horizontal="center" vertical="center" wrapText="1"/>
    </xf>
    <xf numFmtId="3" fontId="0" fillId="0" borderId="0" xfId="0" applyNumberFormat="1" applyFont="1" applyAlignment="1">
      <alignment horizontal="center" vertical="center"/>
    </xf>
    <xf numFmtId="0" fontId="10" fillId="5" borderId="1" xfId="0" applyFont="1" applyFill="1" applyBorder="1" applyAlignment="1">
      <alignment vertical="center"/>
    </xf>
    <xf numFmtId="3" fontId="11" fillId="5" borderId="1" xfId="0" applyNumberFormat="1" applyFont="1" applyFill="1" applyBorder="1" applyAlignment="1">
      <alignment horizontal="center" vertical="center"/>
    </xf>
    <xf numFmtId="0" fontId="2" fillId="5" borderId="0" xfId="0" applyFont="1" applyFill="1"/>
    <xf numFmtId="0" fontId="11" fillId="0" borderId="0" xfId="0" applyFont="1" applyBorder="1" applyAlignment="1">
      <alignment vertical="center" wrapText="1"/>
    </xf>
    <xf numFmtId="3" fontId="14" fillId="0" borderId="1" xfId="0" applyNumberFormat="1" applyFont="1" applyBorder="1" applyAlignment="1">
      <alignment horizontal="center" vertical="center" wrapText="1"/>
    </xf>
    <xf numFmtId="3" fontId="11" fillId="0" borderId="0" xfId="0" applyNumberFormat="1" applyFont="1" applyBorder="1" applyAlignment="1">
      <alignment horizontal="center" vertical="center"/>
    </xf>
    <xf numFmtId="3" fontId="11" fillId="0" borderId="1" xfId="0" applyNumberFormat="1" applyFont="1" applyBorder="1"/>
    <xf numFmtId="164" fontId="11" fillId="0" borderId="1" xfId="0" applyNumberFormat="1" applyFont="1" applyBorder="1"/>
    <xf numFmtId="3" fontId="12" fillId="0" borderId="1" xfId="0" applyNumberFormat="1" applyFont="1" applyBorder="1"/>
    <xf numFmtId="3" fontId="9" fillId="0" borderId="1" xfId="0" applyNumberFormat="1" applyFont="1" applyBorder="1" applyAlignment="1">
      <alignment horizontal="center" vertical="center" wrapText="1"/>
    </xf>
    <xf numFmtId="3" fontId="11" fillId="2" borderId="1" xfId="0" applyNumberFormat="1" applyFont="1" applyFill="1" applyBorder="1"/>
    <xf numFmtId="3" fontId="10" fillId="2" borderId="1" xfId="0" applyNumberFormat="1" applyFont="1" applyFill="1" applyBorder="1"/>
    <xf numFmtId="3" fontId="10" fillId="3" borderId="1" xfId="0" applyNumberFormat="1" applyFont="1" applyFill="1" applyBorder="1"/>
    <xf numFmtId="164" fontId="10" fillId="3" borderId="1" xfId="0" applyNumberFormat="1" applyFont="1" applyFill="1" applyBorder="1"/>
    <xf numFmtId="3" fontId="11" fillId="3" borderId="1" xfId="0" applyNumberFormat="1" applyFont="1" applyFill="1" applyBorder="1"/>
    <xf numFmtId="164" fontId="11" fillId="5" borderId="1" xfId="0" applyNumberFormat="1" applyFont="1" applyFill="1" applyBorder="1"/>
    <xf numFmtId="164" fontId="10" fillId="5" borderId="1" xfId="0" applyNumberFormat="1" applyFont="1" applyFill="1" applyBorder="1"/>
    <xf numFmtId="164" fontId="11" fillId="4" borderId="1" xfId="0" applyNumberFormat="1" applyFont="1" applyFill="1" applyBorder="1"/>
    <xf numFmtId="164" fontId="10" fillId="4" borderId="1" xfId="0" applyNumberFormat="1" applyFont="1" applyFill="1" applyBorder="1"/>
    <xf numFmtId="3" fontId="11" fillId="4" borderId="1" xfId="0" applyNumberFormat="1" applyFont="1" applyFill="1" applyBorder="1"/>
    <xf numFmtId="3" fontId="10" fillId="4" borderId="1" xfId="0" applyNumberFormat="1" applyFont="1" applyFill="1" applyBorder="1"/>
    <xf numFmtId="3" fontId="10" fillId="6" borderId="1" xfId="0" applyNumberFormat="1" applyFont="1" applyFill="1" applyBorder="1"/>
    <xf numFmtId="164" fontId="10" fillId="6" borderId="1" xfId="0" applyNumberFormat="1" applyFont="1" applyFill="1" applyBorder="1"/>
    <xf numFmtId="3" fontId="11" fillId="0" borderId="3" xfId="0" applyNumberFormat="1" applyFont="1" applyBorder="1"/>
    <xf numFmtId="0" fontId="0" fillId="7" borderId="4" xfId="0" applyFill="1" applyBorder="1"/>
    <xf numFmtId="3" fontId="13" fillId="7" borderId="5" xfId="0" applyNumberFormat="1" applyFont="1" applyFill="1" applyBorder="1" applyAlignment="1">
      <alignment horizontal="center" vertical="center"/>
    </xf>
    <xf numFmtId="3" fontId="13" fillId="7" borderId="5" xfId="0" applyNumberFormat="1" applyFont="1" applyFill="1" applyBorder="1" applyAlignment="1">
      <alignment vertical="center"/>
    </xf>
    <xf numFmtId="10" fontId="10" fillId="5" borderId="1" xfId="0" applyNumberFormat="1" applyFont="1" applyFill="1" applyBorder="1"/>
    <xf numFmtId="10" fontId="11" fillId="6" borderId="1" xfId="2" applyNumberFormat="1" applyFont="1" applyFill="1" applyBorder="1" applyAlignment="1">
      <alignment horizontal="center"/>
    </xf>
    <xf numFmtId="10" fontId="11" fillId="2" borderId="1" xfId="2" applyNumberFormat="1" applyFont="1" applyFill="1" applyBorder="1" applyAlignment="1">
      <alignment horizontal="center"/>
    </xf>
    <xf numFmtId="10" fontId="11" fillId="0" borderId="1" xfId="2" applyNumberFormat="1" applyFont="1" applyBorder="1" applyAlignment="1">
      <alignment horizontal="center"/>
    </xf>
    <xf numFmtId="10" fontId="11" fillId="2" borderId="1" xfId="2" applyNumberFormat="1" applyFont="1" applyFill="1" applyBorder="1" applyAlignment="1">
      <alignment horizontal="center" vertical="center"/>
    </xf>
    <xf numFmtId="10" fontId="10" fillId="3" borderId="1" xfId="2" applyNumberFormat="1" applyFont="1" applyFill="1" applyBorder="1" applyAlignment="1">
      <alignment horizontal="center" vertical="center"/>
    </xf>
    <xf numFmtId="10" fontId="11" fillId="0" borderId="1" xfId="2" applyNumberFormat="1" applyFont="1" applyBorder="1" applyAlignment="1">
      <alignment horizontal="center" vertical="center"/>
    </xf>
    <xf numFmtId="10" fontId="11" fillId="4" borderId="1" xfId="2" applyNumberFormat="1" applyFont="1" applyFill="1" applyBorder="1" applyAlignment="1">
      <alignment horizontal="center" vertical="center"/>
    </xf>
    <xf numFmtId="10" fontId="11" fillId="3" borderId="1" xfId="2" applyNumberFormat="1" applyFont="1" applyFill="1" applyBorder="1" applyAlignment="1">
      <alignment horizontal="center" vertical="center"/>
    </xf>
    <xf numFmtId="10" fontId="12" fillId="0" borderId="1" xfId="2" applyNumberFormat="1" applyFont="1" applyBorder="1" applyAlignment="1">
      <alignment horizontal="center" vertical="center"/>
    </xf>
    <xf numFmtId="10" fontId="11" fillId="5" borderId="1" xfId="2" applyNumberFormat="1" applyFont="1" applyFill="1" applyBorder="1" applyAlignment="1">
      <alignment horizontal="center" vertical="center"/>
    </xf>
    <xf numFmtId="10" fontId="10" fillId="5" borderId="1" xfId="2" applyNumberFormat="1" applyFont="1" applyFill="1" applyBorder="1" applyAlignment="1">
      <alignment horizontal="center" vertical="center"/>
    </xf>
    <xf numFmtId="10" fontId="11" fillId="6" borderId="1" xfId="2" applyNumberFormat="1" applyFont="1" applyFill="1" applyBorder="1" applyAlignment="1">
      <alignment horizontal="center" vertical="center"/>
    </xf>
    <xf numFmtId="10" fontId="11" fillId="0" borderId="3" xfId="2" applyNumberFormat="1" applyFont="1" applyBorder="1" applyAlignment="1">
      <alignment horizontal="center" vertical="center"/>
    </xf>
    <xf numFmtId="10" fontId="13" fillId="7" borderId="6" xfId="2" applyNumberFormat="1" applyFont="1" applyFill="1" applyBorder="1" applyAlignment="1">
      <alignment horizontal="center" vertical="center"/>
    </xf>
    <xf numFmtId="10" fontId="0" fillId="0" borderId="0" xfId="0" applyNumberFormat="1"/>
    <xf numFmtId="0" fontId="0" fillId="0" borderId="0" xfId="0" applyAlignment="1">
      <alignment wrapText="1"/>
    </xf>
    <xf numFmtId="10" fontId="11" fillId="3" borderId="1" xfId="2" applyNumberFormat="1" applyFont="1" applyFill="1" applyBorder="1" applyAlignment="1">
      <alignment horizontal="center"/>
    </xf>
    <xf numFmtId="10" fontId="10" fillId="3" borderId="1" xfId="2" applyNumberFormat="1" applyFont="1" applyFill="1" applyBorder="1" applyAlignment="1">
      <alignment horizontal="center"/>
    </xf>
    <xf numFmtId="0" fontId="10" fillId="3" borderId="1" xfId="0" applyFont="1" applyFill="1" applyBorder="1" applyAlignment="1">
      <alignment wrapText="1"/>
    </xf>
    <xf numFmtId="3" fontId="10" fillId="3" borderId="1" xfId="0" applyNumberFormat="1" applyFont="1" applyFill="1" applyBorder="1" applyAlignment="1">
      <alignment horizontal="center" vertical="center" wrapText="1"/>
    </xf>
    <xf numFmtId="10" fontId="0" fillId="0" borderId="0" xfId="2" applyNumberFormat="1" applyFont="1"/>
    <xf numFmtId="0" fontId="15" fillId="0" borderId="1" xfId="0" applyFont="1" applyBorder="1"/>
    <xf numFmtId="0" fontId="16" fillId="0" borderId="1" xfId="0" applyFont="1" applyBorder="1" applyAlignment="1">
      <alignment horizontal="center" wrapText="1"/>
    </xf>
    <xf numFmtId="3" fontId="16" fillId="0" borderId="1" xfId="0" applyNumberFormat="1" applyFont="1" applyBorder="1" applyAlignment="1">
      <alignment horizontal="center" vertical="center"/>
    </xf>
    <xf numFmtId="10" fontId="16" fillId="0" borderId="1" xfId="2" applyNumberFormat="1" applyFont="1" applyBorder="1" applyAlignment="1">
      <alignment horizontal="center"/>
    </xf>
    <xf numFmtId="0" fontId="16" fillId="8" borderId="1" xfId="0" applyFont="1" applyFill="1" applyBorder="1"/>
    <xf numFmtId="0" fontId="16" fillId="8" borderId="1" xfId="0" applyFont="1" applyFill="1" applyBorder="1" applyAlignment="1">
      <alignment horizontal="left" wrapText="1"/>
    </xf>
    <xf numFmtId="3" fontId="16" fillId="8" borderId="1" xfId="0" applyNumberFormat="1" applyFont="1" applyFill="1" applyBorder="1" applyAlignment="1">
      <alignment horizontal="center" vertical="center"/>
    </xf>
    <xf numFmtId="10" fontId="16" fillId="8" borderId="1" xfId="2" applyNumberFormat="1" applyFont="1" applyFill="1" applyBorder="1" applyAlignment="1">
      <alignment horizontal="center"/>
    </xf>
    <xf numFmtId="0" fontId="15" fillId="4" borderId="1" xfId="0" applyFont="1" applyFill="1" applyBorder="1"/>
    <xf numFmtId="0" fontId="16" fillId="4" borderId="1" xfId="0" applyFont="1" applyFill="1" applyBorder="1" applyAlignment="1">
      <alignment horizontal="left" wrapText="1"/>
    </xf>
    <xf numFmtId="3" fontId="15" fillId="4" borderId="1" xfId="0" applyNumberFormat="1" applyFont="1" applyFill="1" applyBorder="1" applyAlignment="1">
      <alignment horizontal="center" vertical="center"/>
    </xf>
    <xf numFmtId="10" fontId="15" fillId="4" borderId="1" xfId="2" applyNumberFormat="1" applyFont="1" applyFill="1" applyBorder="1" applyAlignment="1">
      <alignment horizontal="center"/>
    </xf>
    <xf numFmtId="0" fontId="16" fillId="0" borderId="1" xfId="0" applyFont="1" applyFill="1" applyBorder="1"/>
    <xf numFmtId="0" fontId="15" fillId="0" borderId="1" xfId="0" applyFont="1" applyFill="1" applyBorder="1" applyAlignment="1">
      <alignment horizontal="left" wrapText="1"/>
    </xf>
    <xf numFmtId="3" fontId="15" fillId="0" borderId="1" xfId="0" applyNumberFormat="1" applyFont="1" applyFill="1" applyBorder="1" applyAlignment="1">
      <alignment horizontal="center" vertical="center"/>
    </xf>
    <xf numFmtId="10" fontId="15" fillId="0" borderId="1" xfId="2" applyNumberFormat="1" applyFont="1" applyFill="1" applyBorder="1" applyAlignment="1">
      <alignment horizontal="center"/>
    </xf>
    <xf numFmtId="0" fontId="16" fillId="4" borderId="1" xfId="0" applyFont="1" applyFill="1" applyBorder="1"/>
    <xf numFmtId="3" fontId="16" fillId="4" borderId="1" xfId="0" applyNumberFormat="1" applyFont="1" applyFill="1" applyBorder="1" applyAlignment="1">
      <alignment horizontal="center" vertical="center"/>
    </xf>
    <xf numFmtId="10" fontId="16" fillId="4" borderId="1" xfId="2" applyNumberFormat="1" applyFont="1" applyFill="1" applyBorder="1" applyAlignment="1">
      <alignment horizontal="center"/>
    </xf>
    <xf numFmtId="0" fontId="16" fillId="0" borderId="1" xfId="0" applyFont="1" applyBorder="1"/>
    <xf numFmtId="0" fontId="15" fillId="0" borderId="1" xfId="0" applyFont="1" applyBorder="1" applyAlignment="1">
      <alignment horizontal="left" wrapText="1"/>
    </xf>
    <xf numFmtId="3" fontId="15" fillId="0" borderId="1" xfId="0" applyNumberFormat="1" applyFont="1" applyBorder="1" applyAlignment="1">
      <alignment horizontal="center" vertical="center"/>
    </xf>
    <xf numFmtId="10" fontId="15" fillId="0" borderId="1" xfId="2" applyNumberFormat="1" applyFont="1" applyBorder="1" applyAlignment="1">
      <alignment horizontal="center"/>
    </xf>
    <xf numFmtId="0" fontId="16" fillId="8" borderId="1" xfId="0" applyFont="1" applyFill="1" applyBorder="1" applyAlignment="1">
      <alignment horizontal="center" wrapText="1"/>
    </xf>
    <xf numFmtId="0" fontId="16" fillId="0" borderId="1" xfId="0" applyFont="1" applyBorder="1" applyAlignment="1">
      <alignment wrapText="1"/>
    </xf>
    <xf numFmtId="10" fontId="15" fillId="0" borderId="1" xfId="2" applyNumberFormat="1" applyFont="1" applyBorder="1"/>
    <xf numFmtId="0" fontId="16" fillId="8" borderId="1" xfId="0" applyFont="1" applyFill="1" applyBorder="1" applyAlignment="1">
      <alignment wrapText="1"/>
    </xf>
    <xf numFmtId="10" fontId="16" fillId="8" borderId="1" xfId="2" applyNumberFormat="1" applyFont="1" applyFill="1" applyBorder="1"/>
    <xf numFmtId="0" fontId="15" fillId="8" borderId="1" xfId="0" applyFont="1" applyFill="1" applyBorder="1"/>
    <xf numFmtId="0" fontId="17" fillId="0" borderId="1" xfId="0" applyFont="1" applyBorder="1"/>
    <xf numFmtId="0" fontId="16" fillId="0" borderId="1" xfId="0" applyFont="1" applyBorder="1" applyAlignment="1">
      <alignment vertical="center" wrapText="1"/>
    </xf>
    <xf numFmtId="0" fontId="16" fillId="8" borderId="1" xfId="0" applyFont="1" applyFill="1" applyBorder="1" applyAlignment="1">
      <alignment vertical="center" wrapText="1"/>
    </xf>
    <xf numFmtId="0" fontId="16" fillId="8" borderId="1" xfId="0" applyFont="1" applyFill="1" applyBorder="1" applyAlignment="1">
      <alignment horizontal="center" vertical="center" wrapText="1"/>
    </xf>
    <xf numFmtId="3" fontId="16" fillId="8" borderId="1" xfId="0" applyNumberFormat="1" applyFont="1" applyFill="1" applyBorder="1" applyAlignment="1">
      <alignment horizontal="center" vertical="center" wrapText="1"/>
    </xf>
    <xf numFmtId="3" fontId="15" fillId="0" borderId="1" xfId="0" applyNumberFormat="1" applyFont="1" applyBorder="1" applyAlignment="1">
      <alignment horizontal="center" vertical="center" wrapText="1"/>
    </xf>
    <xf numFmtId="3" fontId="16" fillId="0" borderId="1" xfId="0" applyNumberFormat="1" applyFont="1" applyBorder="1" applyAlignment="1">
      <alignment horizontal="center" vertical="center" wrapText="1"/>
    </xf>
    <xf numFmtId="0" fontId="16" fillId="0" borderId="0" xfId="0" applyFont="1" applyFill="1" applyBorder="1" applyAlignment="1">
      <alignment vertical="center" wrapText="1"/>
    </xf>
    <xf numFmtId="3" fontId="16" fillId="0" borderId="0" xfId="0" applyNumberFormat="1" applyFont="1" applyFill="1" applyBorder="1" applyAlignment="1">
      <alignment horizontal="center" vertical="center" wrapText="1"/>
    </xf>
    <xf numFmtId="0" fontId="19" fillId="0" borderId="0" xfId="0" applyFont="1"/>
    <xf numFmtId="0" fontId="10" fillId="5" borderId="1" xfId="0" applyFont="1" applyFill="1" applyBorder="1" applyAlignment="1">
      <alignment wrapText="1"/>
    </xf>
    <xf numFmtId="0" fontId="10" fillId="6" borderId="1" xfId="0" applyFont="1" applyFill="1" applyBorder="1" applyAlignment="1">
      <alignment wrapText="1"/>
    </xf>
    <xf numFmtId="0" fontId="10" fillId="2" borderId="1" xfId="0" applyFont="1" applyFill="1" applyBorder="1" applyAlignment="1">
      <alignment wrapText="1"/>
    </xf>
    <xf numFmtId="0" fontId="10" fillId="4" borderId="1" xfId="0" applyFont="1" applyFill="1" applyBorder="1" applyAlignment="1">
      <alignment wrapText="1"/>
    </xf>
    <xf numFmtId="0" fontId="11" fillId="0" borderId="0" xfId="0" applyFont="1" applyAlignment="1">
      <alignment wrapText="1"/>
    </xf>
    <xf numFmtId="0" fontId="13" fillId="7" borderId="5" xfId="0" applyFont="1" applyFill="1" applyBorder="1" applyAlignment="1">
      <alignment vertical="center" wrapText="1"/>
    </xf>
    <xf numFmtId="0" fontId="3" fillId="0" borderId="7" xfId="0" applyFont="1" applyBorder="1" applyAlignment="1">
      <alignment horizontal="center"/>
    </xf>
    <xf numFmtId="0" fontId="17" fillId="0" borderId="1" xfId="0" applyFont="1" applyBorder="1" applyAlignment="1">
      <alignment horizontal="center"/>
    </xf>
    <xf numFmtId="0" fontId="18" fillId="0" borderId="1" xfId="0" applyFont="1" applyBorder="1" applyAlignment="1">
      <alignment horizontal="center" vertical="center"/>
    </xf>
    <xf numFmtId="3" fontId="0" fillId="0" borderId="0" xfId="0" applyNumberFormat="1"/>
    <xf numFmtId="3" fontId="10" fillId="0" borderId="1" xfId="0" applyNumberFormat="1" applyFont="1" applyFill="1" applyBorder="1" applyAlignment="1">
      <alignment horizontal="center" vertical="center"/>
    </xf>
    <xf numFmtId="0" fontId="20" fillId="0" borderId="1" xfId="0" applyFont="1" applyBorder="1" applyAlignment="1">
      <alignment wrapText="1"/>
    </xf>
    <xf numFmtId="164" fontId="9" fillId="0" borderId="1" xfId="0" applyNumberFormat="1" applyFont="1" applyBorder="1" applyAlignment="1">
      <alignment horizontal="center" vertical="center"/>
    </xf>
    <xf numFmtId="0" fontId="10" fillId="2" borderId="1" xfId="0" applyFont="1" applyFill="1" applyBorder="1" applyAlignment="1">
      <alignment vertical="center" wrapText="1"/>
    </xf>
    <xf numFmtId="10" fontId="10" fillId="2" borderId="1" xfId="2" applyNumberFormat="1" applyFont="1" applyFill="1" applyBorder="1" applyAlignment="1">
      <alignment horizontal="center"/>
    </xf>
    <xf numFmtId="164" fontId="11" fillId="0" borderId="1" xfId="0" applyNumberFormat="1" applyFont="1" applyBorder="1" applyAlignment="1">
      <alignment vertical="center"/>
    </xf>
    <xf numFmtId="164" fontId="11" fillId="0" borderId="1" xfId="0" applyNumberFormat="1" applyFont="1" applyBorder="1" applyAlignment="1">
      <alignment horizontal="right" vertical="center"/>
    </xf>
    <xf numFmtId="0" fontId="2" fillId="0" borderId="0" xfId="0" applyFont="1" applyAlignment="1">
      <alignment wrapText="1"/>
    </xf>
    <xf numFmtId="0" fontId="4" fillId="0" borderId="0" xfId="0" applyFont="1" applyAlignment="1">
      <alignment wrapText="1"/>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3" fontId="9" fillId="0" borderId="1" xfId="0" applyNumberFormat="1" applyFont="1" applyBorder="1" applyAlignment="1">
      <alignment horizontal="center" vertical="center"/>
    </xf>
    <xf numFmtId="3" fontId="2" fillId="0" borderId="0" xfId="0" applyNumberFormat="1" applyFont="1"/>
    <xf numFmtId="3" fontId="4" fillId="0" borderId="0" xfId="0" applyNumberFormat="1" applyFont="1"/>
    <xf numFmtId="9" fontId="11" fillId="0" borderId="1" xfId="2" applyFont="1" applyBorder="1" applyAlignment="1">
      <alignment horizontal="center" vertical="center"/>
    </xf>
    <xf numFmtId="0" fontId="21" fillId="3" borderId="8" xfId="0" applyFont="1" applyFill="1" applyBorder="1" applyAlignment="1">
      <alignment horizontal="left"/>
    </xf>
    <xf numFmtId="0" fontId="21" fillId="3" borderId="1" xfId="0" applyFont="1" applyFill="1" applyBorder="1" applyAlignment="1">
      <alignment horizontal="left"/>
    </xf>
    <xf numFmtId="0" fontId="1" fillId="7" borderId="9" xfId="0" applyFont="1" applyFill="1" applyBorder="1" applyAlignment="1">
      <alignment horizontal="center"/>
    </xf>
    <xf numFmtId="0" fontId="13" fillId="7" borderId="10" xfId="0" applyFont="1" applyFill="1" applyBorder="1" applyAlignment="1">
      <alignment vertical="center" wrapText="1"/>
    </xf>
    <xf numFmtId="3" fontId="13" fillId="7" borderId="10" xfId="0" applyNumberFormat="1" applyFont="1" applyFill="1" applyBorder="1" applyAlignment="1">
      <alignment horizontal="center" vertical="center"/>
    </xf>
    <xf numFmtId="10" fontId="13" fillId="7" borderId="11" xfId="2" applyNumberFormat="1" applyFont="1" applyFill="1" applyBorder="1" applyAlignment="1">
      <alignment horizontal="center" vertical="center"/>
    </xf>
    <xf numFmtId="0" fontId="6" fillId="0" borderId="1" xfId="0" applyFont="1" applyBorder="1" applyAlignment="1">
      <alignment horizontal="center"/>
    </xf>
    <xf numFmtId="0" fontId="21" fillId="3" borderId="1" xfId="0" applyFont="1" applyFill="1" applyBorder="1" applyAlignment="1">
      <alignment horizontal="center"/>
    </xf>
    <xf numFmtId="0" fontId="11" fillId="0" borderId="3" xfId="0" applyFont="1" applyBorder="1" applyAlignment="1">
      <alignment vertical="center" wrapText="1"/>
    </xf>
    <xf numFmtId="3" fontId="11" fillId="0" borderId="3" xfId="0" applyNumberFormat="1" applyFont="1" applyBorder="1" applyAlignment="1">
      <alignment horizontal="center" vertical="center"/>
    </xf>
    <xf numFmtId="0" fontId="0" fillId="7" borderId="1" xfId="0" applyFill="1" applyBorder="1"/>
    <xf numFmtId="0" fontId="13" fillId="7" borderId="1" xfId="0" applyFont="1" applyFill="1" applyBorder="1" applyAlignment="1">
      <alignment vertical="center" wrapText="1"/>
    </xf>
    <xf numFmtId="3" fontId="13" fillId="7" borderId="1" xfId="0" applyNumberFormat="1" applyFont="1" applyFill="1" applyBorder="1" applyAlignment="1">
      <alignment horizontal="center" vertical="center"/>
    </xf>
    <xf numFmtId="3" fontId="13" fillId="7" borderId="1" xfId="0" applyNumberFormat="1" applyFont="1" applyFill="1" applyBorder="1" applyAlignment="1">
      <alignment vertical="center"/>
    </xf>
    <xf numFmtId="10" fontId="13" fillId="7" borderId="1" xfId="2" applyNumberFormat="1" applyFont="1" applyFill="1" applyBorder="1" applyAlignment="1">
      <alignment horizontal="center" vertical="center"/>
    </xf>
    <xf numFmtId="0" fontId="10" fillId="0" borderId="1" xfId="0" applyFont="1" applyFill="1" applyBorder="1" applyAlignment="1">
      <alignment vertical="center"/>
    </xf>
    <xf numFmtId="0" fontId="10" fillId="9" borderId="1" xfId="0" applyFont="1" applyFill="1" applyBorder="1" applyAlignment="1">
      <alignment vertical="center"/>
    </xf>
    <xf numFmtId="0" fontId="10" fillId="9" borderId="1" xfId="0" applyFont="1" applyFill="1" applyBorder="1" applyAlignment="1">
      <alignment wrapText="1"/>
    </xf>
    <xf numFmtId="3" fontId="10" fillId="9" borderId="1" xfId="0" applyNumberFormat="1" applyFont="1" applyFill="1" applyBorder="1" applyAlignment="1">
      <alignment horizontal="center" vertical="center"/>
    </xf>
    <xf numFmtId="3" fontId="11" fillId="9" borderId="1" xfId="0" applyNumberFormat="1" applyFont="1" applyFill="1" applyBorder="1" applyAlignment="1">
      <alignment horizontal="center" vertical="center"/>
    </xf>
    <xf numFmtId="164" fontId="11" fillId="9" borderId="1" xfId="0" applyNumberFormat="1" applyFont="1" applyFill="1" applyBorder="1"/>
    <xf numFmtId="10" fontId="11" fillId="9" borderId="1" xfId="2" applyNumberFormat="1" applyFont="1" applyFill="1" applyBorder="1" applyAlignment="1">
      <alignment horizontal="center" vertical="center"/>
    </xf>
    <xf numFmtId="0" fontId="2" fillId="9" borderId="0" xfId="0" applyFont="1" applyFill="1"/>
    <xf numFmtId="164" fontId="10" fillId="9" borderId="1" xfId="0" applyNumberFormat="1" applyFont="1" applyFill="1" applyBorder="1"/>
    <xf numFmtId="10" fontId="10" fillId="9" borderId="1" xfId="2" applyNumberFormat="1" applyFont="1" applyFill="1" applyBorder="1" applyAlignment="1">
      <alignment horizontal="center" vertical="center"/>
    </xf>
    <xf numFmtId="0" fontId="11" fillId="0" borderId="1" xfId="0" applyFont="1" applyFill="1" applyBorder="1" applyAlignment="1">
      <alignment wrapText="1"/>
    </xf>
  </cellXfs>
  <cellStyles count="3">
    <cellStyle name="Milliers [0] 2" xfId="1"/>
    <cellStyle name="Normal" xfId="0" builtinId="0"/>
    <cellStyle name="Pourcentage" xfId="2"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9"/>
  <sheetViews>
    <sheetView tabSelected="1" topLeftCell="A41" workbookViewId="0">
      <selection activeCell="B47" sqref="B47"/>
    </sheetView>
  </sheetViews>
  <sheetFormatPr baseColWidth="10" defaultRowHeight="14.4" x14ac:dyDescent="0.3"/>
  <cols>
    <col min="1" max="1" width="11.33203125" customWidth="1"/>
    <col min="2" max="2" width="69.77734375" style="75" customWidth="1"/>
    <col min="3" max="3" width="20.5546875" style="31" bestFit="1" customWidth="1"/>
    <col min="4" max="4" width="17.44140625" style="15" bestFit="1" customWidth="1"/>
    <col min="5" max="5" width="17.44140625" bestFit="1" customWidth="1"/>
    <col min="6" max="6" width="22.6640625" style="74" bestFit="1" customWidth="1"/>
  </cols>
  <sheetData>
    <row r="1" spans="1:9" ht="17.399999999999999" x14ac:dyDescent="0.3">
      <c r="A1" s="126" t="s">
        <v>249</v>
      </c>
      <c r="B1" s="126"/>
      <c r="C1" s="126"/>
      <c r="D1" s="126"/>
      <c r="E1" s="126"/>
      <c r="F1" s="126"/>
      <c r="G1" s="2"/>
      <c r="H1" s="2"/>
      <c r="I1" s="1"/>
    </row>
    <row r="2" spans="1:9" s="4" customFormat="1" ht="21" x14ac:dyDescent="0.4">
      <c r="A2" s="145" t="s">
        <v>250</v>
      </c>
      <c r="B2" s="145"/>
      <c r="C2" s="145"/>
      <c r="D2" s="145"/>
      <c r="E2" s="145"/>
      <c r="F2" s="145"/>
    </row>
    <row r="3" spans="1:9" ht="15.6" x14ac:dyDescent="0.3">
      <c r="A3" s="24"/>
      <c r="B3" s="120" t="s">
        <v>65</v>
      </c>
      <c r="C3" s="25" t="s">
        <v>64</v>
      </c>
      <c r="D3" s="25" t="s">
        <v>66</v>
      </c>
      <c r="E3" s="26" t="s">
        <v>67</v>
      </c>
      <c r="F3" s="59" t="s">
        <v>205</v>
      </c>
    </row>
    <row r="4" spans="1:9" s="3" customFormat="1" ht="18" x14ac:dyDescent="0.35">
      <c r="A4" s="23" t="s">
        <v>35</v>
      </c>
      <c r="B4" s="121" t="s">
        <v>36</v>
      </c>
      <c r="C4" s="29">
        <f>SUM(C5,C9,C37,C67,C75)</f>
        <v>610425243</v>
      </c>
      <c r="D4" s="29">
        <f>SUM(D5,D9,D37,D75)</f>
        <v>421299362</v>
      </c>
      <c r="E4" s="53">
        <f>SUM(E5,E9,E37,E75)</f>
        <v>134869231</v>
      </c>
      <c r="F4" s="60">
        <f>D4/C4</f>
        <v>0.69017355823864579</v>
      </c>
    </row>
    <row r="5" spans="1:9" s="3" customFormat="1" ht="18" x14ac:dyDescent="0.35">
      <c r="A5" s="16" t="s">
        <v>37</v>
      </c>
      <c r="B5" s="122" t="s">
        <v>38</v>
      </c>
      <c r="C5" s="17">
        <f>SUM(C6:C8)</f>
        <v>10864743</v>
      </c>
      <c r="D5" s="17">
        <f>SUM(D6:D8)</f>
        <v>10464743</v>
      </c>
      <c r="E5" s="43">
        <f>SUM(E6:E8)</f>
        <v>400000</v>
      </c>
      <c r="F5" s="61">
        <f>D5/C5</f>
        <v>0.96318366665460931</v>
      </c>
    </row>
    <row r="6" spans="1:9" s="119" customFormat="1" ht="15.6" x14ac:dyDescent="0.3">
      <c r="A6" s="6" t="s">
        <v>2</v>
      </c>
      <c r="B6" s="7" t="s">
        <v>69</v>
      </c>
      <c r="C6" s="30">
        <v>3200000</v>
      </c>
      <c r="D6" s="10">
        <f>2250000+750000</f>
        <v>3000000</v>
      </c>
      <c r="E6" s="38">
        <f>C6-D6</f>
        <v>200000</v>
      </c>
      <c r="F6" s="62">
        <f>D6/C6</f>
        <v>0.9375</v>
      </c>
    </row>
    <row r="7" spans="1:9" ht="15.6" x14ac:dyDescent="0.3">
      <c r="A7" s="35"/>
      <c r="B7" s="35" t="s">
        <v>203</v>
      </c>
      <c r="C7" s="37">
        <v>6464743</v>
      </c>
      <c r="D7" s="37">
        <v>6464743</v>
      </c>
      <c r="E7" s="38">
        <f>C7-D7</f>
        <v>0</v>
      </c>
      <c r="F7" s="62">
        <f>D7/C7</f>
        <v>1</v>
      </c>
    </row>
    <row r="8" spans="1:9" ht="15.6" x14ac:dyDescent="0.3">
      <c r="A8" s="6" t="s">
        <v>71</v>
      </c>
      <c r="B8" s="7" t="s">
        <v>199</v>
      </c>
      <c r="C8" s="30">
        <v>1200000</v>
      </c>
      <c r="D8" s="10">
        <v>1000000</v>
      </c>
      <c r="E8" s="38">
        <f>C8-D8</f>
        <v>200000</v>
      </c>
      <c r="F8" s="62">
        <f>D8/C8</f>
        <v>0.83333333333333337</v>
      </c>
    </row>
    <row r="9" spans="1:9" s="119" customFormat="1" ht="15.6" x14ac:dyDescent="0.3">
      <c r="A9" s="16" t="s">
        <v>39</v>
      </c>
      <c r="B9" s="122" t="s">
        <v>40</v>
      </c>
      <c r="C9" s="17">
        <f>SUM(C10,C14,C17,C20,C25)</f>
        <v>191479600</v>
      </c>
      <c r="D9" s="17">
        <f>SUM(D10,D14,D17,D20,D25)</f>
        <v>156066350</v>
      </c>
      <c r="E9" s="42">
        <f>SUM(E10,E14,E17,E20,E25)</f>
        <v>35413250</v>
      </c>
      <c r="F9" s="63">
        <f>D9/C9</f>
        <v>0.81505471078903446</v>
      </c>
    </row>
    <row r="10" spans="1:9" ht="15.6" x14ac:dyDescent="0.3">
      <c r="A10" s="18" t="s">
        <v>4</v>
      </c>
      <c r="B10" s="18" t="s">
        <v>5</v>
      </c>
      <c r="C10" s="20">
        <f>SUM(C11:C13)</f>
        <v>19420000</v>
      </c>
      <c r="D10" s="20">
        <f>SUM(D11:D13)</f>
        <v>18959000</v>
      </c>
      <c r="E10" s="44">
        <f>SUM(E11:E13)</f>
        <v>461000</v>
      </c>
      <c r="F10" s="64">
        <f>D10/C10</f>
        <v>0.97626158599382085</v>
      </c>
    </row>
    <row r="11" spans="1:9" s="3" customFormat="1" ht="18" x14ac:dyDescent="0.35">
      <c r="A11" s="6"/>
      <c r="B11" s="9" t="s">
        <v>242</v>
      </c>
      <c r="C11" s="10">
        <v>17440000</v>
      </c>
      <c r="D11" s="10">
        <f>76000+73000+719500+783500+741000+577500+4300000+3420000+1500000+676500+1642500+1025000+344000+441500+1425000</f>
        <v>17745000</v>
      </c>
      <c r="E11" s="38">
        <f>C11-D11</f>
        <v>-305000</v>
      </c>
      <c r="F11" s="65">
        <f>D11/C11</f>
        <v>1.0174885321100917</v>
      </c>
    </row>
    <row r="12" spans="1:9" s="4" customFormat="1" ht="15.6" x14ac:dyDescent="0.3">
      <c r="A12" s="6"/>
      <c r="B12" s="9" t="s">
        <v>243</v>
      </c>
      <c r="C12" s="10">
        <v>1140000</v>
      </c>
      <c r="D12" s="10">
        <f>525000+447500</f>
        <v>972500</v>
      </c>
      <c r="E12" s="38">
        <f t="shared" ref="E12:E13" si="0">C12-D12</f>
        <v>167500</v>
      </c>
      <c r="F12" s="65">
        <f t="shared" ref="F12:F13" si="1">D12/C12</f>
        <v>0.85307017543859653</v>
      </c>
    </row>
    <row r="13" spans="1:9" ht="15.6" x14ac:dyDescent="0.3">
      <c r="A13" s="6"/>
      <c r="B13" s="9" t="s">
        <v>244</v>
      </c>
      <c r="C13" s="10">
        <v>840000</v>
      </c>
      <c r="D13" s="10">
        <v>241500</v>
      </c>
      <c r="E13" s="38">
        <f t="shared" si="0"/>
        <v>598500</v>
      </c>
      <c r="F13" s="65">
        <f t="shared" si="1"/>
        <v>0.28749999999999998</v>
      </c>
    </row>
    <row r="14" spans="1:9" ht="15.6" x14ac:dyDescent="0.3">
      <c r="A14" s="18" t="s">
        <v>6</v>
      </c>
      <c r="B14" s="18" t="s">
        <v>187</v>
      </c>
      <c r="C14" s="20">
        <f>SUM(C15:C16)</f>
        <v>8880000</v>
      </c>
      <c r="D14" s="20">
        <f>SUM(D15:D16)</f>
        <v>665500</v>
      </c>
      <c r="E14" s="44">
        <f>SUM(E15:E16)</f>
        <v>8214500</v>
      </c>
      <c r="F14" s="64">
        <f>D14/C14</f>
        <v>7.4943693693693691E-2</v>
      </c>
    </row>
    <row r="15" spans="1:9" ht="15.6" x14ac:dyDescent="0.3">
      <c r="A15" s="6"/>
      <c r="B15" s="9" t="s">
        <v>245</v>
      </c>
      <c r="C15" s="10">
        <v>880000</v>
      </c>
      <c r="D15" s="10">
        <f>39000+357500+204000</f>
        <v>600500</v>
      </c>
      <c r="E15" s="38">
        <f>C15-D15</f>
        <v>279500</v>
      </c>
      <c r="F15" s="65">
        <f>D15/C15</f>
        <v>0.68238636363636362</v>
      </c>
    </row>
    <row r="16" spans="1:9" ht="30" x14ac:dyDescent="0.3">
      <c r="A16" s="6"/>
      <c r="B16" s="6" t="s">
        <v>188</v>
      </c>
      <c r="C16" s="10">
        <v>8000000</v>
      </c>
      <c r="D16" s="10">
        <v>65000</v>
      </c>
      <c r="E16" s="38">
        <f t="shared" ref="E16" si="2">C16-D16</f>
        <v>7935000</v>
      </c>
      <c r="F16" s="65">
        <f t="shared" ref="F16" si="3">D16/C16</f>
        <v>8.1250000000000003E-3</v>
      </c>
    </row>
    <row r="17" spans="1:6" ht="15.6" x14ac:dyDescent="0.3">
      <c r="A17" s="18" t="s">
        <v>7</v>
      </c>
      <c r="B17" s="18" t="s">
        <v>8</v>
      </c>
      <c r="C17" s="20">
        <f>SUM(C18:C19)</f>
        <v>47039600</v>
      </c>
      <c r="D17" s="20">
        <f>SUM(D18:D19)</f>
        <v>45427800</v>
      </c>
      <c r="E17" s="44">
        <f>SUM(E18:E19)</f>
        <v>1611800</v>
      </c>
      <c r="F17" s="64">
        <f>D17/C17</f>
        <v>0.96573525285078954</v>
      </c>
    </row>
    <row r="18" spans="1:6" ht="15.6" x14ac:dyDescent="0.3">
      <c r="A18" s="6"/>
      <c r="B18" s="9" t="s">
        <v>246</v>
      </c>
      <c r="C18" s="10">
        <v>45279600</v>
      </c>
      <c r="D18" s="10">
        <f>3773000+3457000+4153000+3933000+3243000+3265000+3741000+3757000+3919000+3933000+3933000+3947000+165000</f>
        <v>45219000</v>
      </c>
      <c r="E18" s="38">
        <f>C18-D18</f>
        <v>60600</v>
      </c>
      <c r="F18" s="65">
        <f>D18/C18</f>
        <v>0.99866164895449605</v>
      </c>
    </row>
    <row r="19" spans="1:6" ht="15.6" x14ac:dyDescent="0.3">
      <c r="A19" s="6"/>
      <c r="B19" s="9" t="s">
        <v>247</v>
      </c>
      <c r="C19" s="10">
        <v>1760000</v>
      </c>
      <c r="D19" s="13">
        <v>208800</v>
      </c>
      <c r="E19" s="38">
        <f t="shared" ref="E19" si="4">C19-D19</f>
        <v>1551200</v>
      </c>
      <c r="F19" s="65">
        <f t="shared" ref="F19" si="5">D19/C19</f>
        <v>0.11863636363636364</v>
      </c>
    </row>
    <row r="20" spans="1:6" ht="15.6" x14ac:dyDescent="0.3">
      <c r="A20" s="18" t="s">
        <v>9</v>
      </c>
      <c r="B20" s="18" t="s">
        <v>202</v>
      </c>
      <c r="C20" s="20">
        <f>SUM(C21:C24)</f>
        <v>84840000</v>
      </c>
      <c r="D20" s="20">
        <f>SUM(D21:D24)</f>
        <v>81439050</v>
      </c>
      <c r="E20" s="45">
        <f>SUM(E21:E24)</f>
        <v>3400950</v>
      </c>
      <c r="F20" s="64">
        <f>D20/C20</f>
        <v>0.95991336633663371</v>
      </c>
    </row>
    <row r="21" spans="1:6" ht="15.6" x14ac:dyDescent="0.3">
      <c r="A21" s="6"/>
      <c r="B21" s="8" t="s">
        <v>73</v>
      </c>
      <c r="C21" s="10">
        <v>13400000</v>
      </c>
      <c r="D21" s="10">
        <f>1387000+631950+709000+987500+987500+2184500+3244000+900000+125000+684250+145000+445000</f>
        <v>12430700</v>
      </c>
      <c r="E21" s="39">
        <f>C21-D21</f>
        <v>969300</v>
      </c>
      <c r="F21" s="65">
        <f>D21/C21</f>
        <v>0.92766417910447763</v>
      </c>
    </row>
    <row r="22" spans="1:6" s="4" customFormat="1" ht="15.6" x14ac:dyDescent="0.3">
      <c r="A22" s="6"/>
      <c r="B22" s="8" t="s">
        <v>74</v>
      </c>
      <c r="C22" s="10">
        <v>7840000</v>
      </c>
      <c r="D22" s="10">
        <f>1237000+1225800+888500+1119000+643000+366000+230000+350000</f>
        <v>6059300</v>
      </c>
      <c r="E22" s="39">
        <f t="shared" ref="E22:E24" si="6">C22-D22</f>
        <v>1780700</v>
      </c>
      <c r="F22" s="65">
        <f t="shared" ref="F22:F24" si="7">D22/C22</f>
        <v>0.7728698979591837</v>
      </c>
    </row>
    <row r="23" spans="1:6" ht="15.6" x14ac:dyDescent="0.3">
      <c r="A23" s="6"/>
      <c r="B23" s="8" t="s">
        <v>75</v>
      </c>
      <c r="C23" s="10">
        <v>5600000</v>
      </c>
      <c r="D23" s="10">
        <f>170000+325000+2650800+50000+744250+75000+963000+178000+105000+88000</f>
        <v>5349050</v>
      </c>
      <c r="E23" s="39">
        <f t="shared" si="6"/>
        <v>250950</v>
      </c>
      <c r="F23" s="65">
        <f t="shared" si="7"/>
        <v>0.95518749999999997</v>
      </c>
    </row>
    <row r="24" spans="1:6" ht="31.2" x14ac:dyDescent="0.3">
      <c r="A24" s="6"/>
      <c r="B24" s="8" t="s">
        <v>76</v>
      </c>
      <c r="C24" s="10">
        <v>58000000</v>
      </c>
      <c r="D24" s="10">
        <f>9600000+9600000+9600000+9600000+9600000+9600000</f>
        <v>57600000</v>
      </c>
      <c r="E24" s="39">
        <f t="shared" si="6"/>
        <v>400000</v>
      </c>
      <c r="F24" s="65">
        <f t="shared" si="7"/>
        <v>0.99310344827586206</v>
      </c>
    </row>
    <row r="25" spans="1:6" ht="15.6" x14ac:dyDescent="0.3">
      <c r="A25" s="18" t="s">
        <v>10</v>
      </c>
      <c r="B25" s="18" t="s">
        <v>102</v>
      </c>
      <c r="C25" s="20">
        <f>SUM(C26:C36)</f>
        <v>31300000</v>
      </c>
      <c r="D25" s="20">
        <f>SUM(D26:D36)</f>
        <v>9575000</v>
      </c>
      <c r="E25" s="44">
        <f>SUM(E26:E36)</f>
        <v>21725000</v>
      </c>
      <c r="F25" s="64">
        <f>D25/C25</f>
        <v>0.30591054313099042</v>
      </c>
    </row>
    <row r="26" spans="1:6" ht="15.6" x14ac:dyDescent="0.3">
      <c r="A26" s="6"/>
      <c r="B26" s="131" t="s">
        <v>77</v>
      </c>
      <c r="C26" s="141">
        <v>4500000</v>
      </c>
      <c r="D26" s="10">
        <f>375000+375000+375000+375000+375000</f>
        <v>1875000</v>
      </c>
      <c r="E26" s="38">
        <f t="shared" ref="E26:E36" si="8">C26-D26</f>
        <v>2625000</v>
      </c>
      <c r="F26" s="62">
        <f t="shared" ref="F26:F36" si="9">D26/C26</f>
        <v>0.41666666666666669</v>
      </c>
    </row>
    <row r="27" spans="1:6" ht="15.6" x14ac:dyDescent="0.3">
      <c r="A27" s="6"/>
      <c r="B27" s="131" t="s">
        <v>78</v>
      </c>
      <c r="C27" s="141">
        <v>2400000</v>
      </c>
      <c r="D27" s="10">
        <f>150000+400000</f>
        <v>550000</v>
      </c>
      <c r="E27" s="38">
        <f t="shared" si="8"/>
        <v>1850000</v>
      </c>
      <c r="F27" s="62">
        <f t="shared" si="9"/>
        <v>0.22916666666666666</v>
      </c>
    </row>
    <row r="28" spans="1:6" ht="31.2" x14ac:dyDescent="0.3">
      <c r="A28" s="6"/>
      <c r="B28" s="8" t="s">
        <v>79</v>
      </c>
      <c r="C28" s="30">
        <v>2100000</v>
      </c>
      <c r="D28" s="10">
        <f>630000+420000</f>
        <v>1050000</v>
      </c>
      <c r="E28" s="38">
        <f t="shared" si="8"/>
        <v>1050000</v>
      </c>
      <c r="F28" s="62">
        <f t="shared" si="9"/>
        <v>0.5</v>
      </c>
    </row>
    <row r="29" spans="1:6" ht="15.6" x14ac:dyDescent="0.3">
      <c r="A29" s="6"/>
      <c r="B29" s="8" t="s">
        <v>80</v>
      </c>
      <c r="C29" s="30">
        <v>2100000</v>
      </c>
      <c r="D29" s="10">
        <v>0</v>
      </c>
      <c r="E29" s="38">
        <f t="shared" si="8"/>
        <v>2100000</v>
      </c>
      <c r="F29" s="62">
        <f t="shared" si="9"/>
        <v>0</v>
      </c>
    </row>
    <row r="30" spans="1:6" ht="31.2" x14ac:dyDescent="0.3">
      <c r="A30" s="6"/>
      <c r="B30" s="8" t="s">
        <v>81</v>
      </c>
      <c r="C30" s="30">
        <v>4000000</v>
      </c>
      <c r="D30" s="10">
        <v>0</v>
      </c>
      <c r="E30" s="38">
        <f t="shared" si="8"/>
        <v>4000000</v>
      </c>
      <c r="F30" s="62">
        <f t="shared" si="9"/>
        <v>0</v>
      </c>
    </row>
    <row r="31" spans="1:6" ht="15.6" x14ac:dyDescent="0.3">
      <c r="A31" s="6"/>
      <c r="B31" s="8" t="s">
        <v>82</v>
      </c>
      <c r="C31" s="30">
        <v>3000000</v>
      </c>
      <c r="D31" s="10">
        <v>0</v>
      </c>
      <c r="E31" s="38">
        <f t="shared" si="8"/>
        <v>3000000</v>
      </c>
      <c r="F31" s="62">
        <f t="shared" si="9"/>
        <v>0</v>
      </c>
    </row>
    <row r="32" spans="1:6" ht="31.2" x14ac:dyDescent="0.3">
      <c r="A32" s="6"/>
      <c r="B32" s="8" t="s">
        <v>241</v>
      </c>
      <c r="C32" s="30">
        <v>5000000</v>
      </c>
      <c r="D32" s="10">
        <v>5000000</v>
      </c>
      <c r="E32" s="38">
        <f t="shared" si="8"/>
        <v>0</v>
      </c>
      <c r="F32" s="62">
        <f t="shared" si="9"/>
        <v>1</v>
      </c>
    </row>
    <row r="33" spans="1:6" s="4" customFormat="1" ht="15.6" x14ac:dyDescent="0.3">
      <c r="A33" s="6"/>
      <c r="B33" s="8" t="s">
        <v>204</v>
      </c>
      <c r="C33" s="30">
        <v>2200000</v>
      </c>
      <c r="D33" s="10">
        <v>1100000</v>
      </c>
      <c r="E33" s="38">
        <f t="shared" si="8"/>
        <v>1100000</v>
      </c>
      <c r="F33" s="62">
        <f t="shared" si="9"/>
        <v>0.5</v>
      </c>
    </row>
    <row r="34" spans="1:6" ht="30.6" x14ac:dyDescent="0.3">
      <c r="A34" s="6"/>
      <c r="B34" s="7" t="s">
        <v>94</v>
      </c>
      <c r="C34" s="30">
        <v>2100000</v>
      </c>
      <c r="D34" s="10">
        <v>0</v>
      </c>
      <c r="E34" s="38">
        <f t="shared" si="8"/>
        <v>2100000</v>
      </c>
      <c r="F34" s="62">
        <f t="shared" si="9"/>
        <v>0</v>
      </c>
    </row>
    <row r="35" spans="1:6" ht="30.6" x14ac:dyDescent="0.3">
      <c r="A35" s="6"/>
      <c r="B35" s="7" t="s">
        <v>99</v>
      </c>
      <c r="C35" s="30">
        <v>2100000</v>
      </c>
      <c r="D35" s="10">
        <v>0</v>
      </c>
      <c r="E35" s="38">
        <f t="shared" si="8"/>
        <v>2100000</v>
      </c>
      <c r="F35" s="62">
        <f t="shared" si="9"/>
        <v>0</v>
      </c>
    </row>
    <row r="36" spans="1:6" ht="15.6" x14ac:dyDescent="0.3">
      <c r="A36" s="6"/>
      <c r="B36" s="7" t="s">
        <v>186</v>
      </c>
      <c r="C36" s="30">
        <v>1800000</v>
      </c>
      <c r="D36" s="10">
        <v>0</v>
      </c>
      <c r="E36" s="38">
        <f t="shared" si="8"/>
        <v>1800000</v>
      </c>
      <c r="F36" s="62">
        <f t="shared" si="9"/>
        <v>0</v>
      </c>
    </row>
    <row r="37" spans="1:6" ht="15.6" x14ac:dyDescent="0.3">
      <c r="A37" s="21" t="s">
        <v>41</v>
      </c>
      <c r="B37" s="123" t="s">
        <v>42</v>
      </c>
      <c r="C37" s="27">
        <f>SUM(C38,C44,C49)</f>
        <v>228720900</v>
      </c>
      <c r="D37" s="27">
        <f>SUM(D38,D44,D49,D67)</f>
        <v>227393269</v>
      </c>
      <c r="E37" s="52">
        <f>SUM(E38,E44,E49)</f>
        <v>92530981</v>
      </c>
      <c r="F37" s="66">
        <f>D37/C37</f>
        <v>0.99419541021393321</v>
      </c>
    </row>
    <row r="38" spans="1:6" s="4" customFormat="1" ht="15.6" x14ac:dyDescent="0.3">
      <c r="A38" s="19" t="s">
        <v>43</v>
      </c>
      <c r="B38" s="78" t="s">
        <v>83</v>
      </c>
      <c r="C38" s="20">
        <f>SUM(C39:C43)</f>
        <v>66897600</v>
      </c>
      <c r="D38" s="20">
        <f>SUM(D39:D43)</f>
        <v>29664240</v>
      </c>
      <c r="E38" s="46">
        <f>SUM(E39:E43)</f>
        <v>37233360</v>
      </c>
      <c r="F38" s="67">
        <f>D38/C38</f>
        <v>0.44342756690822988</v>
      </c>
    </row>
    <row r="39" spans="1:6" ht="78" x14ac:dyDescent="0.3">
      <c r="A39" s="9" t="s">
        <v>11</v>
      </c>
      <c r="B39" s="9" t="s">
        <v>84</v>
      </c>
      <c r="C39" s="10">
        <v>45000000</v>
      </c>
      <c r="D39" s="10">
        <f>1200000+645000+1865640+730000+710000+1921800+5514400+1837800</f>
        <v>14424640</v>
      </c>
      <c r="E39" s="10">
        <f>C39-D39</f>
        <v>30575360</v>
      </c>
      <c r="F39" s="65">
        <f>D39/C39</f>
        <v>0.32054755555555553</v>
      </c>
    </row>
    <row r="40" spans="1:6" ht="60" x14ac:dyDescent="0.3">
      <c r="A40" s="6" t="s">
        <v>12</v>
      </c>
      <c r="B40" s="6" t="s">
        <v>85</v>
      </c>
      <c r="C40" s="10">
        <v>16807600</v>
      </c>
      <c r="D40" s="10">
        <v>14739600</v>
      </c>
      <c r="E40" s="10">
        <f t="shared" ref="E40:E43" si="10">C40-D40</f>
        <v>2068000</v>
      </c>
      <c r="F40" s="65">
        <f t="shared" ref="F40:F43" si="11">D40/C40</f>
        <v>0.87696042266593688</v>
      </c>
    </row>
    <row r="41" spans="1:6" ht="30.6" x14ac:dyDescent="0.3">
      <c r="A41" s="6"/>
      <c r="B41" s="7" t="s">
        <v>87</v>
      </c>
      <c r="C41" s="30">
        <v>1490000</v>
      </c>
      <c r="D41" s="41">
        <v>500000</v>
      </c>
      <c r="E41" s="10">
        <f t="shared" si="10"/>
        <v>990000</v>
      </c>
      <c r="F41" s="65">
        <f t="shared" si="11"/>
        <v>0.33557046979865773</v>
      </c>
    </row>
    <row r="42" spans="1:6" ht="45" x14ac:dyDescent="0.3">
      <c r="A42" s="6"/>
      <c r="B42" s="6" t="s">
        <v>152</v>
      </c>
      <c r="C42" s="10">
        <v>1600000</v>
      </c>
      <c r="D42" s="10">
        <v>0</v>
      </c>
      <c r="E42" s="10">
        <f t="shared" si="10"/>
        <v>1600000</v>
      </c>
      <c r="F42" s="65">
        <f t="shared" si="11"/>
        <v>0</v>
      </c>
    </row>
    <row r="43" spans="1:6" ht="15.6" x14ac:dyDescent="0.3">
      <c r="A43" s="6"/>
      <c r="B43" s="124" t="s">
        <v>197</v>
      </c>
      <c r="C43" s="13">
        <v>2000000</v>
      </c>
      <c r="D43" s="10">
        <v>0</v>
      </c>
      <c r="E43" s="10">
        <f t="shared" si="10"/>
        <v>2000000</v>
      </c>
      <c r="F43" s="65">
        <f t="shared" si="11"/>
        <v>0</v>
      </c>
    </row>
    <row r="44" spans="1:6" ht="15.6" x14ac:dyDescent="0.3">
      <c r="A44" s="19" t="s">
        <v>44</v>
      </c>
      <c r="B44" s="78" t="s">
        <v>89</v>
      </c>
      <c r="C44" s="20">
        <f>SUM(C45:C48)</f>
        <v>44009300</v>
      </c>
      <c r="D44" s="20">
        <f>SUM(D45:D48)</f>
        <v>15964350</v>
      </c>
      <c r="E44" s="46">
        <f>SUM(E45:E48)</f>
        <v>28044950</v>
      </c>
      <c r="F44" s="67">
        <f>D44/C44</f>
        <v>0.36274946431776922</v>
      </c>
    </row>
    <row r="45" spans="1:6" s="4" customFormat="1" ht="30" x14ac:dyDescent="0.3">
      <c r="A45" s="6"/>
      <c r="B45" s="6" t="s">
        <v>113</v>
      </c>
      <c r="C45" s="10">
        <v>18540000</v>
      </c>
      <c r="D45" s="10">
        <f>3937000+2647500+930000</f>
        <v>7514500</v>
      </c>
      <c r="E45" s="38">
        <f t="shared" ref="E45:E48" si="12">C45-D45</f>
        <v>11025500</v>
      </c>
      <c r="F45" s="65">
        <f t="shared" ref="F45:F48" si="13">D45/C45</f>
        <v>0.40531283710895361</v>
      </c>
    </row>
    <row r="46" spans="1:6" ht="30" x14ac:dyDescent="0.3">
      <c r="A46" s="6"/>
      <c r="B46" s="6" t="s">
        <v>114</v>
      </c>
      <c r="C46" s="10">
        <v>7000000</v>
      </c>
      <c r="D46" s="10">
        <v>0</v>
      </c>
      <c r="E46" s="38">
        <f t="shared" si="12"/>
        <v>7000000</v>
      </c>
      <c r="F46" s="65">
        <f t="shared" si="13"/>
        <v>0</v>
      </c>
    </row>
    <row r="47" spans="1:6" ht="15.6" x14ac:dyDescent="0.3">
      <c r="A47" s="6"/>
      <c r="B47" s="6" t="s">
        <v>260</v>
      </c>
      <c r="C47" s="10">
        <v>2469300</v>
      </c>
      <c r="D47" s="10">
        <v>2469300</v>
      </c>
      <c r="E47" s="38">
        <f t="shared" si="12"/>
        <v>0</v>
      </c>
      <c r="F47" s="65">
        <f t="shared" si="13"/>
        <v>1</v>
      </c>
    </row>
    <row r="48" spans="1:6" ht="30" x14ac:dyDescent="0.3">
      <c r="A48" s="6"/>
      <c r="B48" s="6" t="s">
        <v>151</v>
      </c>
      <c r="C48" s="10">
        <v>16000000</v>
      </c>
      <c r="D48" s="10">
        <v>5980550</v>
      </c>
      <c r="E48" s="38">
        <f t="shared" si="12"/>
        <v>10019450</v>
      </c>
      <c r="F48" s="65">
        <f t="shared" si="13"/>
        <v>0.373784375</v>
      </c>
    </row>
    <row r="49" spans="1:6" ht="15.6" x14ac:dyDescent="0.3">
      <c r="A49" s="19" t="s">
        <v>45</v>
      </c>
      <c r="B49" s="78" t="s">
        <v>106</v>
      </c>
      <c r="C49" s="20">
        <f>SUM(C50,C64)</f>
        <v>117814000</v>
      </c>
      <c r="D49" s="20">
        <f>SUM(D50,D64)</f>
        <v>90561329</v>
      </c>
      <c r="E49" s="45">
        <f>SUM(E50,E64)</f>
        <v>27252671</v>
      </c>
      <c r="F49" s="67">
        <f>D49/C49</f>
        <v>0.76868053881542087</v>
      </c>
    </row>
    <row r="50" spans="1:6" ht="15.6" x14ac:dyDescent="0.3">
      <c r="A50" s="161"/>
      <c r="B50" s="162" t="s">
        <v>200</v>
      </c>
      <c r="C50" s="163">
        <f>SUM(C51:C63)</f>
        <v>108614000</v>
      </c>
      <c r="D50" s="164">
        <f>SUM(D51:D63)</f>
        <v>88152329</v>
      </c>
      <c r="E50" s="165">
        <f>SUM(E51:E63)</f>
        <v>20461671</v>
      </c>
      <c r="F50" s="166">
        <f>D50/C50</f>
        <v>0.81161110906512968</v>
      </c>
    </row>
    <row r="51" spans="1:6" ht="30.6" x14ac:dyDescent="0.3">
      <c r="A51" s="6" t="s">
        <v>14</v>
      </c>
      <c r="B51" s="7" t="s">
        <v>103</v>
      </c>
      <c r="C51" s="30">
        <v>3000000</v>
      </c>
      <c r="D51" s="13">
        <f>1000000+1500000</f>
        <v>2500000</v>
      </c>
      <c r="E51" s="136">
        <f>C51-D51</f>
        <v>500000</v>
      </c>
      <c r="F51" s="65">
        <f>D51/C51</f>
        <v>0.83333333333333337</v>
      </c>
    </row>
    <row r="52" spans="1:6" ht="30.6" x14ac:dyDescent="0.3">
      <c r="A52" s="6"/>
      <c r="B52" s="7" t="s">
        <v>107</v>
      </c>
      <c r="C52" s="30">
        <v>1000000</v>
      </c>
      <c r="D52" s="10">
        <v>850000</v>
      </c>
      <c r="E52" s="39">
        <f t="shared" ref="E52:E63" si="14">C52-D52</f>
        <v>150000</v>
      </c>
      <c r="F52" s="65">
        <f t="shared" ref="F52:F63" si="15">D52/C52</f>
        <v>0.85</v>
      </c>
    </row>
    <row r="53" spans="1:6" ht="15.6" x14ac:dyDescent="0.3">
      <c r="A53" s="6"/>
      <c r="B53" s="7" t="s">
        <v>109</v>
      </c>
      <c r="C53" s="30">
        <v>8600000</v>
      </c>
      <c r="D53" s="10">
        <f>3607000+3607000</f>
        <v>7214000</v>
      </c>
      <c r="E53" s="39">
        <f t="shared" si="14"/>
        <v>1386000</v>
      </c>
      <c r="F53" s="65">
        <f t="shared" si="15"/>
        <v>0.83883720930232553</v>
      </c>
    </row>
    <row r="54" spans="1:6" ht="15.6" x14ac:dyDescent="0.3">
      <c r="A54" s="6"/>
      <c r="B54" s="7" t="s">
        <v>110</v>
      </c>
      <c r="C54" s="30">
        <v>14800000</v>
      </c>
      <c r="D54" s="10">
        <f>4790000+1909000+1805000+1550000+2392200+2250000</f>
        <v>14696200</v>
      </c>
      <c r="E54" s="39">
        <f t="shared" si="14"/>
        <v>103800</v>
      </c>
      <c r="F54" s="65">
        <f t="shared" si="15"/>
        <v>0.99298648648648646</v>
      </c>
    </row>
    <row r="55" spans="1:6" ht="30.6" x14ac:dyDescent="0.3">
      <c r="A55" s="6"/>
      <c r="B55" s="7" t="s">
        <v>128</v>
      </c>
      <c r="C55" s="30">
        <v>9600000</v>
      </c>
      <c r="D55" s="10">
        <v>8140000</v>
      </c>
      <c r="E55" s="39">
        <f t="shared" si="14"/>
        <v>1460000</v>
      </c>
      <c r="F55" s="65">
        <f t="shared" si="15"/>
        <v>0.84791666666666665</v>
      </c>
    </row>
    <row r="56" spans="1:6" ht="30.6" x14ac:dyDescent="0.3">
      <c r="A56" s="6"/>
      <c r="B56" s="7" t="s">
        <v>130</v>
      </c>
      <c r="C56" s="30">
        <v>5600000</v>
      </c>
      <c r="D56" s="10">
        <v>4040695</v>
      </c>
      <c r="E56" s="39">
        <f t="shared" si="14"/>
        <v>1559305</v>
      </c>
      <c r="F56" s="65">
        <f t="shared" si="15"/>
        <v>0.72155267857142857</v>
      </c>
    </row>
    <row r="57" spans="1:6" ht="45.6" x14ac:dyDescent="0.3">
      <c r="A57" s="6"/>
      <c r="B57" s="7" t="s">
        <v>131</v>
      </c>
      <c r="C57" s="30">
        <v>9600000</v>
      </c>
      <c r="D57" s="10">
        <f>500000+500000+1100000+500000+33000</f>
        <v>2633000</v>
      </c>
      <c r="E57" s="39">
        <f t="shared" si="14"/>
        <v>6967000</v>
      </c>
      <c r="F57" s="65">
        <f t="shared" si="15"/>
        <v>0.27427083333333335</v>
      </c>
    </row>
    <row r="58" spans="1:6" ht="15.6" x14ac:dyDescent="0.3">
      <c r="A58" s="6"/>
      <c r="B58" s="7" t="s">
        <v>132</v>
      </c>
      <c r="C58" s="30">
        <v>9600000</v>
      </c>
      <c r="D58" s="10">
        <v>9240000</v>
      </c>
      <c r="E58" s="39">
        <f t="shared" si="14"/>
        <v>360000</v>
      </c>
      <c r="F58" s="65">
        <f t="shared" si="15"/>
        <v>0.96250000000000002</v>
      </c>
    </row>
    <row r="59" spans="1:6" ht="30.6" x14ac:dyDescent="0.3">
      <c r="A59" s="6"/>
      <c r="B59" s="7" t="s">
        <v>133</v>
      </c>
      <c r="C59" s="30">
        <v>2600000</v>
      </c>
      <c r="D59" s="10">
        <v>1805000</v>
      </c>
      <c r="E59" s="39">
        <f t="shared" si="14"/>
        <v>795000</v>
      </c>
      <c r="F59" s="65">
        <f t="shared" si="15"/>
        <v>0.69423076923076921</v>
      </c>
    </row>
    <row r="60" spans="1:6" ht="15.6" x14ac:dyDescent="0.3">
      <c r="A60" s="35"/>
      <c r="B60" s="7" t="s">
        <v>146</v>
      </c>
      <c r="C60" s="10">
        <v>11600000</v>
      </c>
      <c r="D60" s="10">
        <v>7549964</v>
      </c>
      <c r="E60" s="39">
        <f t="shared" si="14"/>
        <v>4050036</v>
      </c>
      <c r="F60" s="65">
        <f t="shared" si="15"/>
        <v>0.65085896551724143</v>
      </c>
    </row>
    <row r="61" spans="1:6" ht="15.6" x14ac:dyDescent="0.3">
      <c r="A61" s="35"/>
      <c r="B61" s="7" t="s">
        <v>147</v>
      </c>
      <c r="C61" s="10">
        <v>7214000</v>
      </c>
      <c r="D61" s="10">
        <v>6149962</v>
      </c>
      <c r="E61" s="39">
        <f t="shared" si="14"/>
        <v>1064038</v>
      </c>
      <c r="F61" s="65">
        <f t="shared" si="15"/>
        <v>0.85250374272248408</v>
      </c>
    </row>
    <row r="62" spans="1:6" ht="15.6" x14ac:dyDescent="0.3">
      <c r="A62" s="35"/>
      <c r="B62" s="7" t="s">
        <v>148</v>
      </c>
      <c r="C62" s="10">
        <v>10000000</v>
      </c>
      <c r="D62" s="10">
        <f>2600000+6999500</f>
        <v>9599500</v>
      </c>
      <c r="E62" s="39">
        <f t="shared" si="14"/>
        <v>400500</v>
      </c>
      <c r="F62" s="65">
        <f t="shared" si="15"/>
        <v>0.95994999999999997</v>
      </c>
    </row>
    <row r="63" spans="1:6" ht="30.6" x14ac:dyDescent="0.3">
      <c r="A63" s="35"/>
      <c r="B63" s="7" t="s">
        <v>149</v>
      </c>
      <c r="C63" s="10">
        <v>15400000</v>
      </c>
      <c r="D63" s="10">
        <f>6138000+7596008</f>
        <v>13734008</v>
      </c>
      <c r="E63" s="39">
        <f t="shared" si="14"/>
        <v>1665992</v>
      </c>
      <c r="F63" s="65">
        <f t="shared" si="15"/>
        <v>0.89181870129870133</v>
      </c>
    </row>
    <row r="64" spans="1:6" ht="15.6" x14ac:dyDescent="0.3">
      <c r="A64" s="167"/>
      <c r="B64" s="162" t="s">
        <v>201</v>
      </c>
      <c r="C64" s="163">
        <f>SUM(C65:C66)</f>
        <v>9200000</v>
      </c>
      <c r="D64" s="163">
        <f>SUM(D65:D66)</f>
        <v>2409000</v>
      </c>
      <c r="E64" s="168">
        <f>SUM(E65:E66)</f>
        <v>6791000</v>
      </c>
      <c r="F64" s="169">
        <f>D64/C64</f>
        <v>0.2618478260869565</v>
      </c>
    </row>
    <row r="65" spans="1:6" ht="60.6" x14ac:dyDescent="0.3">
      <c r="A65" s="6"/>
      <c r="B65" s="7" t="s">
        <v>108</v>
      </c>
      <c r="C65" s="30">
        <v>2500000</v>
      </c>
      <c r="D65" s="10">
        <v>309000</v>
      </c>
      <c r="E65" s="135">
        <f t="shared" ref="E65:E66" si="16">C65-D65</f>
        <v>2191000</v>
      </c>
      <c r="F65" s="65">
        <f t="shared" ref="F65:F66" si="17">D65/C65</f>
        <v>0.1236</v>
      </c>
    </row>
    <row r="66" spans="1:6" ht="15" x14ac:dyDescent="0.3">
      <c r="A66" s="6"/>
      <c r="B66" s="6" t="s">
        <v>111</v>
      </c>
      <c r="C66" s="10">
        <v>6700000</v>
      </c>
      <c r="D66" s="36">
        <f>1050000+1050000</f>
        <v>2100000</v>
      </c>
      <c r="E66" s="135">
        <f t="shared" si="16"/>
        <v>4600000</v>
      </c>
      <c r="F66" s="65">
        <f t="shared" si="17"/>
        <v>0.31343283582089554</v>
      </c>
    </row>
    <row r="67" spans="1:6" ht="15.6" x14ac:dyDescent="0.3">
      <c r="A67" s="21" t="s">
        <v>88</v>
      </c>
      <c r="B67" s="123" t="s">
        <v>134</v>
      </c>
      <c r="C67" s="27">
        <f>SUM(C68:C74)</f>
        <v>145460000</v>
      </c>
      <c r="D67" s="27">
        <f>SUM(D68:D74)</f>
        <v>91203350</v>
      </c>
      <c r="E67" s="52">
        <f>SUM(E68:E74)</f>
        <v>54256650</v>
      </c>
      <c r="F67" s="66">
        <f>D67/C67</f>
        <v>0.62699951876804616</v>
      </c>
    </row>
    <row r="68" spans="1:6" ht="15.6" x14ac:dyDescent="0.3">
      <c r="A68" s="6" t="s">
        <v>15</v>
      </c>
      <c r="B68" s="6" t="s">
        <v>116</v>
      </c>
      <c r="C68" s="10">
        <v>50000000</v>
      </c>
      <c r="D68" s="10">
        <f>4888000+1100000+9120950</f>
        <v>15108950</v>
      </c>
      <c r="E68" s="38">
        <f>C68-D68</f>
        <v>34891050</v>
      </c>
      <c r="F68" s="65">
        <f>D68/C68</f>
        <v>0.30217899999999998</v>
      </c>
    </row>
    <row r="69" spans="1:6" ht="30" x14ac:dyDescent="0.3">
      <c r="A69" s="6" t="s">
        <v>16</v>
      </c>
      <c r="B69" s="6" t="s">
        <v>117</v>
      </c>
      <c r="C69" s="10">
        <v>17000000</v>
      </c>
      <c r="D69" s="10">
        <f>5533750+1205000+852000+6800000</f>
        <v>14390750</v>
      </c>
      <c r="E69" s="38">
        <f t="shared" ref="E69:E74" si="18">C69-D69</f>
        <v>2609250</v>
      </c>
      <c r="F69" s="65">
        <f t="shared" ref="F69:F74" si="19">D69/C69</f>
        <v>0.84651470588235289</v>
      </c>
    </row>
    <row r="70" spans="1:6" ht="30" x14ac:dyDescent="0.3">
      <c r="A70" s="6"/>
      <c r="B70" s="6" t="s">
        <v>118</v>
      </c>
      <c r="C70" s="10">
        <v>18800000</v>
      </c>
      <c r="D70" s="10">
        <f>10000000+4990600+1824000</f>
        <v>16814600</v>
      </c>
      <c r="E70" s="38">
        <f t="shared" si="18"/>
        <v>1985400</v>
      </c>
      <c r="F70" s="65">
        <f t="shared" si="19"/>
        <v>0.89439361702127662</v>
      </c>
    </row>
    <row r="71" spans="1:6" ht="15.6" x14ac:dyDescent="0.3">
      <c r="A71" s="6"/>
      <c r="B71" s="7" t="s">
        <v>138</v>
      </c>
      <c r="C71" s="30">
        <v>5400000</v>
      </c>
      <c r="D71" s="10">
        <v>147000</v>
      </c>
      <c r="E71" s="38">
        <f t="shared" si="18"/>
        <v>5253000</v>
      </c>
      <c r="F71" s="65">
        <f t="shared" si="19"/>
        <v>2.7222222222222221E-2</v>
      </c>
    </row>
    <row r="72" spans="1:6" ht="15.6" x14ac:dyDescent="0.3">
      <c r="A72" s="6"/>
      <c r="B72" s="7" t="s">
        <v>139</v>
      </c>
      <c r="C72" s="30">
        <v>30000000</v>
      </c>
      <c r="D72" s="10">
        <f>5550000+18500000</f>
        <v>24050000</v>
      </c>
      <c r="E72" s="38">
        <f t="shared" si="18"/>
        <v>5950000</v>
      </c>
      <c r="F72" s="65">
        <f t="shared" si="19"/>
        <v>0.80166666666666664</v>
      </c>
    </row>
    <row r="73" spans="1:6" ht="15.6" x14ac:dyDescent="0.3">
      <c r="A73" s="6"/>
      <c r="B73" s="7" t="s">
        <v>145</v>
      </c>
      <c r="C73" s="30">
        <v>20000000</v>
      </c>
      <c r="D73" s="10">
        <v>18227050</v>
      </c>
      <c r="E73" s="38">
        <f t="shared" si="18"/>
        <v>1772950</v>
      </c>
      <c r="F73" s="65">
        <f t="shared" si="19"/>
        <v>0.91135250000000001</v>
      </c>
    </row>
    <row r="74" spans="1:6" ht="30.6" x14ac:dyDescent="0.3">
      <c r="A74" s="6"/>
      <c r="B74" s="7" t="s">
        <v>150</v>
      </c>
      <c r="C74" s="30">
        <v>4260000</v>
      </c>
      <c r="D74" s="10">
        <f>465000+2000000</f>
        <v>2465000</v>
      </c>
      <c r="E74" s="38">
        <f t="shared" si="18"/>
        <v>1795000</v>
      </c>
      <c r="F74" s="65">
        <f t="shared" si="19"/>
        <v>0.57863849765258213</v>
      </c>
    </row>
    <row r="75" spans="1:6" ht="15.6" x14ac:dyDescent="0.3">
      <c r="A75" s="21" t="s">
        <v>46</v>
      </c>
      <c r="B75" s="123" t="s">
        <v>47</v>
      </c>
      <c r="C75" s="27">
        <f>SUM(C76:C78)</f>
        <v>33900000</v>
      </c>
      <c r="D75" s="27">
        <f>SUM(D76:D78)</f>
        <v>27375000</v>
      </c>
      <c r="E75" s="50">
        <f>SUM(E76:E78)</f>
        <v>6525000</v>
      </c>
      <c r="F75" s="66">
        <f>D75/C75</f>
        <v>0.80752212389380529</v>
      </c>
    </row>
    <row r="76" spans="1:6" ht="30.6" x14ac:dyDescent="0.3">
      <c r="A76" s="6" t="s">
        <v>17</v>
      </c>
      <c r="B76" s="7" t="s">
        <v>154</v>
      </c>
      <c r="C76" s="10">
        <v>2400000</v>
      </c>
      <c r="D76" s="10">
        <v>1200000</v>
      </c>
      <c r="E76" s="39">
        <f>C76-D76</f>
        <v>1200000</v>
      </c>
      <c r="F76" s="65">
        <f>D76/C76</f>
        <v>0.5</v>
      </c>
    </row>
    <row r="77" spans="1:6" ht="15.6" x14ac:dyDescent="0.3">
      <c r="A77" s="6" t="s">
        <v>18</v>
      </c>
      <c r="B77" s="7" t="s">
        <v>155</v>
      </c>
      <c r="C77" s="10">
        <v>1500000</v>
      </c>
      <c r="D77" s="10">
        <v>0</v>
      </c>
      <c r="E77" s="39">
        <f t="shared" ref="E77:E78" si="20">C77-D77</f>
        <v>1500000</v>
      </c>
      <c r="F77" s="65">
        <f t="shared" ref="F77:F78" si="21">D77/C77</f>
        <v>0</v>
      </c>
    </row>
    <row r="78" spans="1:6" ht="15.6" x14ac:dyDescent="0.3">
      <c r="A78" s="6" t="s">
        <v>19</v>
      </c>
      <c r="B78" s="7" t="s">
        <v>156</v>
      </c>
      <c r="C78" s="30">
        <v>30000000</v>
      </c>
      <c r="D78" s="10">
        <f>13675000+10500000+2000000</f>
        <v>26175000</v>
      </c>
      <c r="E78" s="39">
        <f t="shared" si="20"/>
        <v>3825000</v>
      </c>
      <c r="F78" s="65">
        <f t="shared" si="21"/>
        <v>0.87250000000000005</v>
      </c>
    </row>
    <row r="79" spans="1:6" s="3" customFormat="1" ht="18" x14ac:dyDescent="0.35">
      <c r="A79" s="23" t="s">
        <v>48</v>
      </c>
      <c r="B79" s="121" t="s">
        <v>49</v>
      </c>
      <c r="C79" s="29">
        <f>SUM(C80,C84,C88)</f>
        <v>99475600</v>
      </c>
      <c r="D79" s="29">
        <f>SUM(D80,D84,D88)</f>
        <v>60750000</v>
      </c>
      <c r="E79" s="54">
        <f>SUM(E80,E84,E88)</f>
        <v>38725600</v>
      </c>
      <c r="F79" s="71">
        <f>D79/C79</f>
        <v>0.61070252403604497</v>
      </c>
    </row>
    <row r="80" spans="1:6" s="3" customFormat="1" ht="18" x14ac:dyDescent="0.35">
      <c r="A80" s="21" t="s">
        <v>37</v>
      </c>
      <c r="B80" s="123" t="s">
        <v>50</v>
      </c>
      <c r="C80" s="27">
        <f>SUM(C81:C83)</f>
        <v>35185600</v>
      </c>
      <c r="D80" s="22">
        <f>SUM(D81:D83)</f>
        <v>13377500</v>
      </c>
      <c r="E80" s="49">
        <f>SUM(E81:E83)</f>
        <v>21808100</v>
      </c>
      <c r="F80" s="66">
        <f>D80/C80</f>
        <v>0.3801981492428721</v>
      </c>
    </row>
    <row r="81" spans="1:6" ht="15.6" x14ac:dyDescent="0.3">
      <c r="A81" s="6" t="s">
        <v>20</v>
      </c>
      <c r="B81" s="7" t="s">
        <v>160</v>
      </c>
      <c r="C81" s="10">
        <v>18000000</v>
      </c>
      <c r="D81" s="10">
        <f>522500+12000000+130000+725000</f>
        <v>13377500</v>
      </c>
      <c r="E81" s="39">
        <f t="shared" ref="E81:E83" si="22">C81-D81</f>
        <v>4622500</v>
      </c>
      <c r="F81" s="65">
        <f t="shared" ref="F81:F83" si="23">D81/C81</f>
        <v>0.74319444444444449</v>
      </c>
    </row>
    <row r="82" spans="1:6" ht="15.6" x14ac:dyDescent="0.3">
      <c r="A82" s="6"/>
      <c r="B82" s="7" t="s">
        <v>162</v>
      </c>
      <c r="C82" s="10">
        <v>9800000</v>
      </c>
      <c r="D82" s="10">
        <v>0</v>
      </c>
      <c r="E82" s="39">
        <f t="shared" si="22"/>
        <v>9800000</v>
      </c>
      <c r="F82" s="65">
        <f t="shared" si="23"/>
        <v>0</v>
      </c>
    </row>
    <row r="83" spans="1:6" ht="15.6" x14ac:dyDescent="0.3">
      <c r="A83" s="6"/>
      <c r="B83" s="7" t="s">
        <v>163</v>
      </c>
      <c r="C83" s="10">
        <v>7385600</v>
      </c>
      <c r="D83" s="10">
        <v>0</v>
      </c>
      <c r="E83" s="39">
        <f t="shared" si="22"/>
        <v>7385600</v>
      </c>
      <c r="F83" s="65">
        <f t="shared" si="23"/>
        <v>0</v>
      </c>
    </row>
    <row r="84" spans="1:6" ht="15.6" x14ac:dyDescent="0.3">
      <c r="A84" s="21" t="s">
        <v>39</v>
      </c>
      <c r="B84" s="123" t="s">
        <v>51</v>
      </c>
      <c r="C84" s="27">
        <f>SUM(C85:C87)</f>
        <v>7450000</v>
      </c>
      <c r="D84" s="22">
        <f>SUM(D85:D87)</f>
        <v>2205000</v>
      </c>
      <c r="E84" s="50">
        <f>SUM(E85:E87)</f>
        <v>5245000</v>
      </c>
      <c r="F84" s="66">
        <f>D84/C84</f>
        <v>0.29597315436241611</v>
      </c>
    </row>
    <row r="85" spans="1:6" ht="15.6" x14ac:dyDescent="0.3">
      <c r="A85" s="6" t="s">
        <v>21</v>
      </c>
      <c r="B85" s="7" t="s">
        <v>165</v>
      </c>
      <c r="C85" s="10">
        <v>3600000</v>
      </c>
      <c r="D85" s="10">
        <f>625000+275000</f>
        <v>900000</v>
      </c>
      <c r="E85" s="39">
        <f t="shared" ref="E85:E87" si="24">C85-D85</f>
        <v>2700000</v>
      </c>
      <c r="F85" s="65">
        <f t="shared" ref="F85:F87" si="25">D85/C85</f>
        <v>0.25</v>
      </c>
    </row>
    <row r="86" spans="1:6" ht="15.6" x14ac:dyDescent="0.3">
      <c r="A86" s="6"/>
      <c r="B86" s="7" t="s">
        <v>166</v>
      </c>
      <c r="C86" s="10">
        <v>2250000</v>
      </c>
      <c r="D86" s="10">
        <v>1305000</v>
      </c>
      <c r="E86" s="39">
        <f t="shared" si="24"/>
        <v>945000</v>
      </c>
      <c r="F86" s="65">
        <f t="shared" si="25"/>
        <v>0.57999999999999996</v>
      </c>
    </row>
    <row r="87" spans="1:6" ht="15.6" x14ac:dyDescent="0.3">
      <c r="A87" s="6"/>
      <c r="B87" s="7" t="s">
        <v>167</v>
      </c>
      <c r="C87" s="10">
        <v>1600000</v>
      </c>
      <c r="D87" s="10">
        <v>0</v>
      </c>
      <c r="E87" s="39">
        <f t="shared" si="24"/>
        <v>1600000</v>
      </c>
      <c r="F87" s="65">
        <f t="shared" si="25"/>
        <v>0</v>
      </c>
    </row>
    <row r="88" spans="1:6" ht="15.6" x14ac:dyDescent="0.3">
      <c r="A88" s="21" t="s">
        <v>41</v>
      </c>
      <c r="B88" s="123" t="s">
        <v>52</v>
      </c>
      <c r="C88" s="27">
        <f>SUM(C89:C95)</f>
        <v>56840000</v>
      </c>
      <c r="D88" s="22">
        <f>SUM(D89:D95)</f>
        <v>45167500</v>
      </c>
      <c r="E88" s="50">
        <f>SUM(E89:E95)</f>
        <v>11672500</v>
      </c>
      <c r="F88" s="66">
        <f>D88/C88</f>
        <v>0.7946428571428571</v>
      </c>
    </row>
    <row r="89" spans="1:6" ht="15.6" x14ac:dyDescent="0.3">
      <c r="A89" s="6" t="s">
        <v>22</v>
      </c>
      <c r="B89" s="7" t="s">
        <v>168</v>
      </c>
      <c r="C89" s="10">
        <v>14920000</v>
      </c>
      <c r="D89" s="10">
        <v>12650000</v>
      </c>
      <c r="E89" s="39">
        <f>C89-D89</f>
        <v>2270000</v>
      </c>
      <c r="F89" s="65">
        <f>D89/C89</f>
        <v>0.84785522788203749</v>
      </c>
    </row>
    <row r="90" spans="1:6" ht="15.6" x14ac:dyDescent="0.3">
      <c r="A90" s="6" t="s">
        <v>23</v>
      </c>
      <c r="B90" s="7" t="s">
        <v>169</v>
      </c>
      <c r="C90" s="10">
        <v>1280000</v>
      </c>
      <c r="D90" s="10">
        <v>400000</v>
      </c>
      <c r="E90" s="39">
        <f t="shared" ref="E90:E95" si="26">C90-D90</f>
        <v>880000</v>
      </c>
      <c r="F90" s="65">
        <f t="shared" ref="F90:F95" si="27">D90/C90</f>
        <v>0.3125</v>
      </c>
    </row>
    <row r="91" spans="1:6" ht="15.6" x14ac:dyDescent="0.3">
      <c r="A91" s="6" t="s">
        <v>24</v>
      </c>
      <c r="B91" s="7" t="s">
        <v>170</v>
      </c>
      <c r="C91" s="10">
        <v>6200000</v>
      </c>
      <c r="D91" s="10">
        <f>3285000+1980000</f>
        <v>5265000</v>
      </c>
      <c r="E91" s="39">
        <f t="shared" si="26"/>
        <v>935000</v>
      </c>
      <c r="F91" s="65">
        <f t="shared" si="27"/>
        <v>0.84919354838709682</v>
      </c>
    </row>
    <row r="92" spans="1:6" ht="15.6" x14ac:dyDescent="0.3">
      <c r="A92" s="6" t="s">
        <v>25</v>
      </c>
      <c r="B92" s="7" t="s">
        <v>171</v>
      </c>
      <c r="C92" s="10">
        <v>1840000</v>
      </c>
      <c r="D92" s="10">
        <v>1640000</v>
      </c>
      <c r="E92" s="39">
        <f t="shared" si="26"/>
        <v>200000</v>
      </c>
      <c r="F92" s="65">
        <f t="shared" si="27"/>
        <v>0.89130434782608692</v>
      </c>
    </row>
    <row r="93" spans="1:6" ht="30.6" x14ac:dyDescent="0.3">
      <c r="A93" s="6" t="s">
        <v>26</v>
      </c>
      <c r="B93" s="7" t="s">
        <v>172</v>
      </c>
      <c r="C93" s="10">
        <v>16600000</v>
      </c>
      <c r="D93" s="10">
        <f>4997500+6055000</f>
        <v>11052500</v>
      </c>
      <c r="E93" s="39">
        <f t="shared" si="26"/>
        <v>5547500</v>
      </c>
      <c r="F93" s="65">
        <f t="shared" si="27"/>
        <v>0.66581325301204819</v>
      </c>
    </row>
    <row r="94" spans="1:6" ht="15.6" x14ac:dyDescent="0.3">
      <c r="A94" s="6"/>
      <c r="B94" s="7" t="s">
        <v>161</v>
      </c>
      <c r="C94" s="10">
        <v>14000000</v>
      </c>
      <c r="D94" s="10">
        <v>13525000</v>
      </c>
      <c r="E94" s="39">
        <f t="shared" si="26"/>
        <v>475000</v>
      </c>
      <c r="F94" s="65">
        <f t="shared" si="27"/>
        <v>0.96607142857142858</v>
      </c>
    </row>
    <row r="95" spans="1:6" ht="30" x14ac:dyDescent="0.3">
      <c r="A95" s="6"/>
      <c r="B95" s="6" t="s">
        <v>185</v>
      </c>
      <c r="C95" s="10">
        <v>2000000</v>
      </c>
      <c r="D95" s="10">
        <v>635000</v>
      </c>
      <c r="E95" s="39">
        <f t="shared" si="26"/>
        <v>1365000</v>
      </c>
      <c r="F95" s="65">
        <f t="shared" si="27"/>
        <v>0.3175</v>
      </c>
    </row>
    <row r="96" spans="1:6" ht="15.6" x14ac:dyDescent="0.3">
      <c r="A96" s="23" t="s">
        <v>53</v>
      </c>
      <c r="B96" s="121" t="s">
        <v>54</v>
      </c>
      <c r="C96" s="29">
        <f>SUM(C97,C100)</f>
        <v>230477654</v>
      </c>
      <c r="D96" s="29">
        <f t="shared" ref="D96:E96" si="28">SUM(D97,D100)</f>
        <v>162000000</v>
      </c>
      <c r="E96" s="29">
        <f t="shared" si="28"/>
        <v>68477654</v>
      </c>
      <c r="F96" s="71">
        <f>D96/C96</f>
        <v>0.70288809864404467</v>
      </c>
    </row>
    <row r="97" spans="1:6" s="1" customFormat="1" ht="15.6" x14ac:dyDescent="0.3">
      <c r="A97" s="21" t="s">
        <v>39</v>
      </c>
      <c r="B97" s="123" t="s">
        <v>56</v>
      </c>
      <c r="C97" s="27">
        <f>SUM(C99:C99)</f>
        <v>223457654</v>
      </c>
      <c r="D97" s="22">
        <f>SUM(D99:D99)</f>
        <v>162000000</v>
      </c>
      <c r="E97" s="52">
        <f>SUM(E98:E99)</f>
        <v>61457654</v>
      </c>
      <c r="F97" s="66">
        <f>D97/C97</f>
        <v>0.72496957298227072</v>
      </c>
    </row>
    <row r="98" spans="1:6" s="1" customFormat="1" ht="15.6" x14ac:dyDescent="0.25">
      <c r="A98" s="160"/>
      <c r="B98" s="170" t="s">
        <v>259</v>
      </c>
      <c r="C98" s="130">
        <v>1214320</v>
      </c>
      <c r="D98" s="130">
        <v>1214320</v>
      </c>
      <c r="E98" s="38">
        <f t="shared" ref="E98:E99" si="29">C98-D98</f>
        <v>0</v>
      </c>
      <c r="F98" s="65">
        <f t="shared" ref="F98:F99" si="30">D98/C98</f>
        <v>1</v>
      </c>
    </row>
    <row r="99" spans="1:6" ht="30" x14ac:dyDescent="0.3">
      <c r="A99" s="6"/>
      <c r="B99" s="6" t="s">
        <v>180</v>
      </c>
      <c r="C99" s="10">
        <v>223457654</v>
      </c>
      <c r="D99" s="10">
        <f>49200000+46800000+33000000+33000000</f>
        <v>162000000</v>
      </c>
      <c r="E99" s="38">
        <f t="shared" si="29"/>
        <v>61457654</v>
      </c>
      <c r="F99" s="65">
        <f t="shared" si="30"/>
        <v>0.72496957298227072</v>
      </c>
    </row>
    <row r="100" spans="1:6" ht="15.6" x14ac:dyDescent="0.3">
      <c r="A100" s="21" t="s">
        <v>41</v>
      </c>
      <c r="B100" s="123" t="s">
        <v>179</v>
      </c>
      <c r="C100" s="27">
        <f>SUM(C101:C102)</f>
        <v>7020000</v>
      </c>
      <c r="D100" s="22">
        <f>SUM(D101:D102)</f>
        <v>0</v>
      </c>
      <c r="E100" s="52">
        <f>SUM(E101:E102)</f>
        <v>7020000</v>
      </c>
      <c r="F100" s="66">
        <f>D100/C100</f>
        <v>0</v>
      </c>
    </row>
    <row r="101" spans="1:6" ht="15.6" x14ac:dyDescent="0.3">
      <c r="A101" s="6" t="s">
        <v>31</v>
      </c>
      <c r="B101" s="6" t="s">
        <v>183</v>
      </c>
      <c r="C101" s="10">
        <v>3200000</v>
      </c>
      <c r="D101" s="10">
        <v>0</v>
      </c>
      <c r="E101" s="38">
        <f t="shared" ref="E101:E102" si="31">C101-D101</f>
        <v>3200000</v>
      </c>
      <c r="F101" s="65">
        <f t="shared" ref="F101:F102" si="32">D101/C101</f>
        <v>0</v>
      </c>
    </row>
    <row r="102" spans="1:6" ht="15.6" x14ac:dyDescent="0.3">
      <c r="A102" s="153" t="s">
        <v>32</v>
      </c>
      <c r="B102" s="153" t="s">
        <v>184</v>
      </c>
      <c r="C102" s="154">
        <v>3820000</v>
      </c>
      <c r="D102" s="154">
        <v>0</v>
      </c>
      <c r="E102" s="55">
        <f t="shared" si="31"/>
        <v>3820000</v>
      </c>
      <c r="F102" s="72">
        <f t="shared" si="32"/>
        <v>0</v>
      </c>
    </row>
    <row r="103" spans="1:6" ht="17.399999999999999" x14ac:dyDescent="0.3">
      <c r="A103" s="155"/>
      <c r="B103" s="156" t="s">
        <v>198</v>
      </c>
      <c r="C103" s="157">
        <f>SUM(C4,C79,C96)</f>
        <v>940378497</v>
      </c>
      <c r="D103" s="157">
        <f>SUM(D4,D79,D96)</f>
        <v>644049362</v>
      </c>
      <c r="E103" s="158">
        <f>SUM(E4,E79,E96)</f>
        <v>242072485</v>
      </c>
      <c r="F103" s="159">
        <f>D103/C103</f>
        <v>0.68488312318353661</v>
      </c>
    </row>
    <row r="104" spans="1:6" x14ac:dyDescent="0.3">
      <c r="A104" s="1"/>
      <c r="B104" s="137"/>
      <c r="C104" s="142"/>
      <c r="D104"/>
      <c r="F104"/>
    </row>
    <row r="105" spans="1:6" ht="21" x14ac:dyDescent="0.4">
      <c r="A105" s="146" t="s">
        <v>251</v>
      </c>
      <c r="B105" s="146"/>
      <c r="C105" s="146"/>
      <c r="D105" s="146"/>
      <c r="E105" s="146"/>
      <c r="F105" s="146"/>
    </row>
    <row r="106" spans="1:6" ht="15.6" x14ac:dyDescent="0.3">
      <c r="A106" s="24"/>
      <c r="B106" s="120" t="s">
        <v>65</v>
      </c>
      <c r="C106" s="25" t="s">
        <v>64</v>
      </c>
      <c r="D106" s="25" t="s">
        <v>66</v>
      </c>
      <c r="E106" s="26" t="s">
        <v>67</v>
      </c>
      <c r="F106" s="59" t="s">
        <v>205</v>
      </c>
    </row>
    <row r="107" spans="1:6" ht="15.6" x14ac:dyDescent="0.3">
      <c r="A107" s="16" t="s">
        <v>213</v>
      </c>
      <c r="B107" s="122" t="s">
        <v>214</v>
      </c>
      <c r="C107" s="17">
        <f>SUM(C108:C108)</f>
        <v>174000000</v>
      </c>
      <c r="D107" s="17">
        <f>SUM(D108:D108)</f>
        <v>156341639</v>
      </c>
      <c r="E107" s="43">
        <f>SUM(E108)</f>
        <v>17658361</v>
      </c>
      <c r="F107" s="61">
        <f>D107/C107</f>
        <v>0.89851516666666664</v>
      </c>
    </row>
    <row r="108" spans="1:6" ht="15.6" x14ac:dyDescent="0.3">
      <c r="A108" s="6" t="s">
        <v>0</v>
      </c>
      <c r="B108" s="6" t="s">
        <v>68</v>
      </c>
      <c r="C108" s="10">
        <v>174000000</v>
      </c>
      <c r="D108" s="10">
        <v>156341639</v>
      </c>
      <c r="E108" s="38">
        <f>C108-D108</f>
        <v>17658361</v>
      </c>
      <c r="F108" s="62">
        <f>D108/C108</f>
        <v>0.89851516666666664</v>
      </c>
    </row>
    <row r="109" spans="1:6" s="4" customFormat="1" ht="15.6" x14ac:dyDescent="0.3">
      <c r="A109" s="133" t="s">
        <v>213</v>
      </c>
      <c r="B109" s="133" t="s">
        <v>212</v>
      </c>
      <c r="C109" s="17">
        <f>SUM(C110:C111)</f>
        <v>314276601</v>
      </c>
      <c r="D109" s="17">
        <f>SUM(D110:D111)</f>
        <v>314276601</v>
      </c>
      <c r="E109" s="43">
        <f>SUM(E110:E111)</f>
        <v>0</v>
      </c>
      <c r="F109" s="134">
        <f t="shared" ref="F109:F110" si="33">D109/C109</f>
        <v>1</v>
      </c>
    </row>
    <row r="110" spans="1:6" s="119" customFormat="1" ht="15.6" x14ac:dyDescent="0.3">
      <c r="A110" s="6" t="s">
        <v>72</v>
      </c>
      <c r="B110" s="6" t="s">
        <v>70</v>
      </c>
      <c r="C110" s="10">
        <v>36500000</v>
      </c>
      <c r="D110" s="10">
        <v>36500000</v>
      </c>
      <c r="E110" s="38">
        <f>C110-D110</f>
        <v>0</v>
      </c>
      <c r="F110" s="62">
        <f t="shared" si="33"/>
        <v>1</v>
      </c>
    </row>
    <row r="111" spans="1:6" s="119" customFormat="1" ht="16.2" thickBot="1" x14ac:dyDescent="0.35">
      <c r="A111" s="6" t="s">
        <v>1</v>
      </c>
      <c r="B111" s="6" t="s">
        <v>3</v>
      </c>
      <c r="C111" s="10">
        <v>277776601</v>
      </c>
      <c r="D111" s="10">
        <v>277776601</v>
      </c>
      <c r="E111" s="38">
        <f>C111-D111</f>
        <v>0</v>
      </c>
      <c r="F111" s="62">
        <f>D111/C111</f>
        <v>1</v>
      </c>
    </row>
    <row r="112" spans="1:6" ht="18" thickBot="1" x14ac:dyDescent="0.35">
      <c r="A112" s="56"/>
      <c r="B112" s="125" t="s">
        <v>198</v>
      </c>
      <c r="C112" s="57">
        <f>SUM(C107,C109)</f>
        <v>488276601</v>
      </c>
      <c r="D112" s="57">
        <f>SUM(D107,D109)</f>
        <v>470618240</v>
      </c>
      <c r="E112" s="57">
        <f>SUM(E107,E109)</f>
        <v>17658361</v>
      </c>
      <c r="F112" s="73">
        <f>D112/C112</f>
        <v>0.96383533234270224</v>
      </c>
    </row>
    <row r="113" spans="1:6" x14ac:dyDescent="0.3">
      <c r="A113" s="1"/>
      <c r="B113" s="137"/>
      <c r="C113" s="142"/>
      <c r="D113"/>
      <c r="F113"/>
    </row>
    <row r="114" spans="1:6" ht="21" x14ac:dyDescent="0.4">
      <c r="A114" s="146" t="s">
        <v>252</v>
      </c>
      <c r="B114" s="146"/>
      <c r="C114" s="146"/>
      <c r="D114" s="146"/>
      <c r="E114" s="146"/>
      <c r="F114" s="146"/>
    </row>
    <row r="115" spans="1:6" ht="15.6" x14ac:dyDescent="0.3">
      <c r="A115" s="24"/>
      <c r="B115" s="120" t="s">
        <v>65</v>
      </c>
      <c r="C115" s="25" t="s">
        <v>64</v>
      </c>
      <c r="D115" s="25" t="s">
        <v>66</v>
      </c>
      <c r="E115" s="26" t="s">
        <v>67</v>
      </c>
      <c r="F115" s="59" t="s">
        <v>205</v>
      </c>
    </row>
    <row r="116" spans="1:6" ht="15.6" x14ac:dyDescent="0.3">
      <c r="A116" s="21" t="s">
        <v>37</v>
      </c>
      <c r="B116" s="123" t="s">
        <v>55</v>
      </c>
      <c r="C116" s="27">
        <f>SUM(C117:C118)</f>
        <v>712248444</v>
      </c>
      <c r="D116" s="22">
        <f>SUM(D117:D118)</f>
        <v>193204330</v>
      </c>
      <c r="E116" s="52">
        <f>SUM(E117:E118)</f>
        <v>519044114</v>
      </c>
      <c r="F116" s="66">
        <f>D116/C116</f>
        <v>0.27125974318028839</v>
      </c>
    </row>
    <row r="117" spans="1:6" ht="15.6" x14ac:dyDescent="0.3">
      <c r="A117" s="6" t="s">
        <v>27</v>
      </c>
      <c r="B117" s="6" t="s">
        <v>173</v>
      </c>
      <c r="C117" s="10">
        <v>658790769</v>
      </c>
      <c r="D117" s="10">
        <v>193204330</v>
      </c>
      <c r="E117" s="38">
        <f>C117-D117</f>
        <v>465586439</v>
      </c>
      <c r="F117" s="65">
        <f>D117/C117</f>
        <v>0.29327115541292598</v>
      </c>
    </row>
    <row r="118" spans="1:6" ht="15.6" x14ac:dyDescent="0.3">
      <c r="A118" s="6" t="s">
        <v>28</v>
      </c>
      <c r="B118" s="6" t="s">
        <v>174</v>
      </c>
      <c r="C118" s="10">
        <v>53457675</v>
      </c>
      <c r="D118" s="10">
        <v>0</v>
      </c>
      <c r="E118" s="38">
        <f t="shared" ref="E118" si="34">C118-D118</f>
        <v>53457675</v>
      </c>
      <c r="F118" s="65">
        <f t="shared" ref="F118" si="35">D118/C118</f>
        <v>0</v>
      </c>
    </row>
    <row r="119" spans="1:6" ht="15.6" x14ac:dyDescent="0.3">
      <c r="A119" s="21" t="s">
        <v>39</v>
      </c>
      <c r="B119" s="123" t="s">
        <v>56</v>
      </c>
      <c r="C119" s="27">
        <f>SUM(C120:C125)</f>
        <v>1012697676.303</v>
      </c>
      <c r="D119" s="22">
        <f>SUM(D120:D125)</f>
        <v>148032000</v>
      </c>
      <c r="E119" s="52">
        <f>SUM(E120:E125)</f>
        <v>864665676.30299997</v>
      </c>
      <c r="F119" s="66">
        <f>D119/C119</f>
        <v>0.14617590566654831</v>
      </c>
    </row>
    <row r="120" spans="1:6" ht="15.6" x14ac:dyDescent="0.3">
      <c r="A120" s="6" t="s">
        <v>29</v>
      </c>
      <c r="B120" s="5" t="s">
        <v>175</v>
      </c>
      <c r="C120" s="10">
        <v>187854888.303</v>
      </c>
      <c r="D120" s="10">
        <f>26662000+27710000</f>
        <v>54372000</v>
      </c>
      <c r="E120" s="38">
        <f>C120-D120</f>
        <v>133482888.303</v>
      </c>
      <c r="F120" s="65">
        <f>D120/C120</f>
        <v>0.28943617326742566</v>
      </c>
    </row>
    <row r="121" spans="1:6" ht="15.6" x14ac:dyDescent="0.3">
      <c r="A121" s="6"/>
      <c r="B121" s="6" t="s">
        <v>248</v>
      </c>
      <c r="C121" s="10">
        <v>150000000</v>
      </c>
      <c r="D121" s="10">
        <v>0</v>
      </c>
      <c r="E121" s="38">
        <f t="shared" ref="E121:E125" si="36">C121-D121</f>
        <v>150000000</v>
      </c>
      <c r="F121" s="65">
        <f t="shared" ref="F121:F125" si="37">D121/C121</f>
        <v>0</v>
      </c>
    </row>
    <row r="122" spans="1:6" ht="15.6" x14ac:dyDescent="0.3">
      <c r="A122" s="6"/>
      <c r="B122" s="6" t="s">
        <v>178</v>
      </c>
      <c r="C122" s="10">
        <v>80000000</v>
      </c>
      <c r="D122" s="10">
        <v>34250000</v>
      </c>
      <c r="E122" s="38">
        <f t="shared" si="36"/>
        <v>45750000</v>
      </c>
      <c r="F122" s="65">
        <f t="shared" si="37"/>
        <v>0.42812499999999998</v>
      </c>
    </row>
    <row r="123" spans="1:6" ht="15.6" x14ac:dyDescent="0.3">
      <c r="A123" s="6"/>
      <c r="B123" s="6" t="s">
        <v>176</v>
      </c>
      <c r="C123" s="10">
        <v>375000000</v>
      </c>
      <c r="D123" s="10">
        <v>0</v>
      </c>
      <c r="E123" s="38">
        <f t="shared" si="36"/>
        <v>375000000</v>
      </c>
      <c r="F123" s="65">
        <f t="shared" si="37"/>
        <v>0</v>
      </c>
    </row>
    <row r="124" spans="1:6" ht="15.6" x14ac:dyDescent="0.3">
      <c r="A124" s="6"/>
      <c r="B124" s="6" t="s">
        <v>177</v>
      </c>
      <c r="C124" s="10">
        <v>214207300</v>
      </c>
      <c r="D124" s="10">
        <f>38410000+21000000</f>
        <v>59410000</v>
      </c>
      <c r="E124" s="38">
        <f t="shared" si="36"/>
        <v>154797300</v>
      </c>
      <c r="F124" s="65">
        <f t="shared" si="37"/>
        <v>0.277348157602472</v>
      </c>
    </row>
    <row r="125" spans="1:6" ht="45" x14ac:dyDescent="0.3">
      <c r="A125" s="6"/>
      <c r="B125" s="6" t="s">
        <v>181</v>
      </c>
      <c r="C125" s="10">
        <v>5635488</v>
      </c>
      <c r="D125" s="10">
        <v>0</v>
      </c>
      <c r="E125" s="38">
        <f t="shared" si="36"/>
        <v>5635488</v>
      </c>
      <c r="F125" s="65">
        <f t="shared" si="37"/>
        <v>0</v>
      </c>
    </row>
    <row r="126" spans="1:6" ht="31.2" x14ac:dyDescent="0.3">
      <c r="A126" s="21" t="s">
        <v>46</v>
      </c>
      <c r="B126" s="123" t="s">
        <v>57</v>
      </c>
      <c r="C126" s="27">
        <f>SUM(C127)</f>
        <v>120000000</v>
      </c>
      <c r="D126" s="22">
        <f>SUM(D127:D127)</f>
        <v>0</v>
      </c>
      <c r="E126" s="51">
        <f>SUM(E127:E127)</f>
        <v>120000000</v>
      </c>
      <c r="F126" s="66">
        <f>D126/C126</f>
        <v>0</v>
      </c>
    </row>
    <row r="127" spans="1:6" ht="16.2" thickBot="1" x14ac:dyDescent="0.35">
      <c r="A127" s="6" t="s">
        <v>33</v>
      </c>
      <c r="B127" s="6" t="s">
        <v>34</v>
      </c>
      <c r="C127" s="10">
        <v>120000000</v>
      </c>
      <c r="D127" s="10">
        <v>0</v>
      </c>
      <c r="E127" s="38">
        <f>C127-D127</f>
        <v>120000000</v>
      </c>
      <c r="F127" s="65">
        <f>D127/C127</f>
        <v>0</v>
      </c>
    </row>
    <row r="128" spans="1:6" ht="18" thickBot="1" x14ac:dyDescent="0.35">
      <c r="A128" s="56"/>
      <c r="B128" s="125" t="s">
        <v>198</v>
      </c>
      <c r="C128" s="57">
        <f>SUM(C116,C119,C126)</f>
        <v>1844946120.303</v>
      </c>
      <c r="D128" s="57">
        <f t="shared" ref="D128:E128" si="38">SUM(D116,D119,D126)</f>
        <v>341236330</v>
      </c>
      <c r="E128" s="57">
        <f t="shared" si="38"/>
        <v>1503709790.303</v>
      </c>
      <c r="F128" s="73">
        <f>D128/C128</f>
        <v>0.18495734170489375</v>
      </c>
    </row>
    <row r="129" spans="1:6" x14ac:dyDescent="0.3">
      <c r="A129" s="1"/>
      <c r="B129" s="137"/>
      <c r="C129" s="142"/>
      <c r="D129"/>
      <c r="F129"/>
    </row>
    <row r="130" spans="1:6" ht="21" x14ac:dyDescent="0.4">
      <c r="A130" s="146" t="s">
        <v>253</v>
      </c>
      <c r="B130" s="146"/>
      <c r="C130" s="146"/>
      <c r="D130" s="146"/>
      <c r="E130" s="146"/>
      <c r="F130" s="146"/>
    </row>
    <row r="131" spans="1:6" ht="15.6" x14ac:dyDescent="0.3">
      <c r="A131" s="24"/>
      <c r="B131" s="120" t="s">
        <v>65</v>
      </c>
      <c r="C131" s="25" t="s">
        <v>64</v>
      </c>
      <c r="D131" s="25" t="s">
        <v>66</v>
      </c>
      <c r="E131" s="26" t="s">
        <v>67</v>
      </c>
      <c r="F131" s="59" t="s">
        <v>205</v>
      </c>
    </row>
    <row r="132" spans="1:6" ht="30" x14ac:dyDescent="0.3">
      <c r="A132" s="139">
        <v>2150</v>
      </c>
      <c r="B132" s="140" t="s">
        <v>120</v>
      </c>
      <c r="C132" s="10">
        <v>1875000</v>
      </c>
      <c r="D132" s="139"/>
      <c r="E132" s="10">
        <f>C132-D132</f>
        <v>1875000</v>
      </c>
      <c r="F132" s="144">
        <f>D132/C132</f>
        <v>0</v>
      </c>
    </row>
    <row r="133" spans="1:6" ht="30" x14ac:dyDescent="0.3">
      <c r="A133" s="139">
        <v>2152</v>
      </c>
      <c r="B133" s="140" t="s">
        <v>104</v>
      </c>
      <c r="C133" s="10">
        <v>8162000</v>
      </c>
      <c r="D133" s="139"/>
      <c r="E133" s="10">
        <f t="shared" ref="E133:E165" si="39">C133-D133</f>
        <v>8162000</v>
      </c>
      <c r="F133" s="144">
        <f t="shared" ref="F133:F165" si="40">D133/C133</f>
        <v>0</v>
      </c>
    </row>
    <row r="134" spans="1:6" ht="60" x14ac:dyDescent="0.3">
      <c r="A134" s="139">
        <v>2156</v>
      </c>
      <c r="B134" s="140" t="s">
        <v>189</v>
      </c>
      <c r="C134" s="10">
        <v>4947750</v>
      </c>
      <c r="D134" s="139"/>
      <c r="E134" s="10">
        <f t="shared" si="39"/>
        <v>4947750</v>
      </c>
      <c r="F134" s="144">
        <f t="shared" si="40"/>
        <v>0</v>
      </c>
    </row>
    <row r="135" spans="1:6" s="3" customFormat="1" ht="18" x14ac:dyDescent="0.35">
      <c r="A135" s="139">
        <v>2157</v>
      </c>
      <c r="B135" s="140" t="s">
        <v>190</v>
      </c>
      <c r="C135" s="10">
        <v>7396500</v>
      </c>
      <c r="D135" s="139"/>
      <c r="E135" s="10">
        <f t="shared" si="39"/>
        <v>7396500</v>
      </c>
      <c r="F135" s="144">
        <f t="shared" si="40"/>
        <v>0</v>
      </c>
    </row>
    <row r="136" spans="1:6" ht="30" x14ac:dyDescent="0.3">
      <c r="A136" s="139">
        <v>2172</v>
      </c>
      <c r="B136" s="140" t="s">
        <v>87</v>
      </c>
      <c r="C136" s="10">
        <v>5490000</v>
      </c>
      <c r="D136" s="139"/>
      <c r="E136" s="10">
        <f t="shared" si="39"/>
        <v>5490000</v>
      </c>
      <c r="F136" s="144">
        <f t="shared" si="40"/>
        <v>0</v>
      </c>
    </row>
    <row r="137" spans="1:6" ht="45" x14ac:dyDescent="0.3">
      <c r="A137" s="139">
        <v>2181</v>
      </c>
      <c r="B137" s="140" t="s">
        <v>95</v>
      </c>
      <c r="C137" s="10">
        <v>10864000</v>
      </c>
      <c r="D137" s="139"/>
      <c r="E137" s="10">
        <f t="shared" si="39"/>
        <v>10864000</v>
      </c>
      <c r="F137" s="144">
        <f t="shared" si="40"/>
        <v>0</v>
      </c>
    </row>
    <row r="138" spans="1:6" ht="60" x14ac:dyDescent="0.3">
      <c r="A138" s="139">
        <v>2182</v>
      </c>
      <c r="B138" s="140" t="s">
        <v>96</v>
      </c>
      <c r="C138" s="10">
        <v>10296000</v>
      </c>
      <c r="D138" s="139"/>
      <c r="E138" s="10">
        <f t="shared" si="39"/>
        <v>10296000</v>
      </c>
      <c r="F138" s="144">
        <f t="shared" si="40"/>
        <v>0</v>
      </c>
    </row>
    <row r="139" spans="1:6" ht="30" x14ac:dyDescent="0.3">
      <c r="A139" s="139">
        <v>2183</v>
      </c>
      <c r="B139" s="140" t="s">
        <v>157</v>
      </c>
      <c r="C139" s="10">
        <v>4885000</v>
      </c>
      <c r="D139" s="139"/>
      <c r="E139" s="10">
        <f t="shared" si="39"/>
        <v>4885000</v>
      </c>
      <c r="F139" s="144">
        <f t="shared" si="40"/>
        <v>0</v>
      </c>
    </row>
    <row r="140" spans="1:6" ht="60" x14ac:dyDescent="0.3">
      <c r="A140" s="139">
        <v>2188</v>
      </c>
      <c r="B140" s="140" t="s">
        <v>191</v>
      </c>
      <c r="C140" s="10">
        <v>3500000</v>
      </c>
      <c r="D140" s="139"/>
      <c r="E140" s="10">
        <f t="shared" si="39"/>
        <v>3500000</v>
      </c>
      <c r="F140" s="144">
        <f t="shared" si="40"/>
        <v>0</v>
      </c>
    </row>
    <row r="141" spans="1:6" ht="30" x14ac:dyDescent="0.3">
      <c r="A141" s="139">
        <v>2201</v>
      </c>
      <c r="B141" s="140" t="s">
        <v>121</v>
      </c>
      <c r="C141" s="10">
        <v>853500</v>
      </c>
      <c r="D141" s="139"/>
      <c r="E141" s="10">
        <f t="shared" si="39"/>
        <v>853500</v>
      </c>
      <c r="F141" s="144">
        <f t="shared" si="40"/>
        <v>0</v>
      </c>
    </row>
    <row r="142" spans="1:6" ht="30" x14ac:dyDescent="0.3">
      <c r="A142" s="139">
        <v>2202</v>
      </c>
      <c r="B142" s="140" t="s">
        <v>86</v>
      </c>
      <c r="C142" s="10">
        <v>11520000</v>
      </c>
      <c r="D142" s="139"/>
      <c r="E142" s="10">
        <f t="shared" si="39"/>
        <v>11520000</v>
      </c>
      <c r="F142" s="144">
        <f t="shared" si="40"/>
        <v>0</v>
      </c>
    </row>
    <row r="143" spans="1:6" ht="30" x14ac:dyDescent="0.3">
      <c r="A143" s="139">
        <v>2203</v>
      </c>
      <c r="B143" s="140" t="s">
        <v>158</v>
      </c>
      <c r="C143" s="10">
        <v>2882400.0000000005</v>
      </c>
      <c r="D143" s="139"/>
      <c r="E143" s="10">
        <f t="shared" si="39"/>
        <v>2882400.0000000005</v>
      </c>
      <c r="F143" s="144">
        <f t="shared" si="40"/>
        <v>0</v>
      </c>
    </row>
    <row r="144" spans="1:6" ht="30" x14ac:dyDescent="0.3">
      <c r="A144" s="139">
        <v>2206</v>
      </c>
      <c r="B144" s="140" t="s">
        <v>192</v>
      </c>
      <c r="C144" s="10">
        <v>3000000</v>
      </c>
      <c r="D144" s="139"/>
      <c r="E144" s="10">
        <f t="shared" si="39"/>
        <v>3000000</v>
      </c>
      <c r="F144" s="144">
        <f t="shared" si="40"/>
        <v>0</v>
      </c>
    </row>
    <row r="145" spans="1:6" s="3" customFormat="1" ht="30" x14ac:dyDescent="0.35">
      <c r="A145" s="139">
        <v>2207</v>
      </c>
      <c r="B145" s="140" t="s">
        <v>90</v>
      </c>
      <c r="C145" s="10">
        <v>5900500</v>
      </c>
      <c r="D145" s="139"/>
      <c r="E145" s="10">
        <f t="shared" si="39"/>
        <v>5900500</v>
      </c>
      <c r="F145" s="144">
        <f t="shared" si="40"/>
        <v>0</v>
      </c>
    </row>
    <row r="146" spans="1:6" s="3" customFormat="1" ht="60" x14ac:dyDescent="0.35">
      <c r="A146" s="139">
        <v>2208</v>
      </c>
      <c r="B146" s="140" t="s">
        <v>105</v>
      </c>
      <c r="C146" s="10">
        <v>8133500</v>
      </c>
      <c r="D146" s="139"/>
      <c r="E146" s="10">
        <f t="shared" si="39"/>
        <v>8133500</v>
      </c>
      <c r="F146" s="144">
        <f t="shared" si="40"/>
        <v>0</v>
      </c>
    </row>
    <row r="147" spans="1:6" ht="75" x14ac:dyDescent="0.3">
      <c r="A147" s="139">
        <v>2211</v>
      </c>
      <c r="B147" s="140" t="s">
        <v>122</v>
      </c>
      <c r="C147" s="10">
        <v>2100000</v>
      </c>
      <c r="D147" s="139"/>
      <c r="E147" s="10">
        <f t="shared" si="39"/>
        <v>2100000</v>
      </c>
      <c r="F147" s="144">
        <f t="shared" si="40"/>
        <v>0</v>
      </c>
    </row>
    <row r="148" spans="1:6" ht="105" x14ac:dyDescent="0.3">
      <c r="A148" s="139">
        <v>2212</v>
      </c>
      <c r="B148" s="140" t="s">
        <v>91</v>
      </c>
      <c r="C148" s="10">
        <v>5900500</v>
      </c>
      <c r="D148" s="139"/>
      <c r="E148" s="10">
        <f t="shared" si="39"/>
        <v>5900500</v>
      </c>
      <c r="F148" s="144">
        <f t="shared" si="40"/>
        <v>0</v>
      </c>
    </row>
    <row r="149" spans="1:6" ht="15" x14ac:dyDescent="0.3">
      <c r="A149" s="139">
        <v>2215</v>
      </c>
      <c r="B149" s="140" t="s">
        <v>197</v>
      </c>
      <c r="C149" s="10">
        <v>2000000</v>
      </c>
      <c r="D149" s="139"/>
      <c r="E149" s="10">
        <f t="shared" si="39"/>
        <v>2000000</v>
      </c>
      <c r="F149" s="144">
        <f t="shared" si="40"/>
        <v>0</v>
      </c>
    </row>
    <row r="150" spans="1:6" ht="30" x14ac:dyDescent="0.3">
      <c r="A150" s="139">
        <v>2217</v>
      </c>
      <c r="B150" s="140" t="s">
        <v>97</v>
      </c>
      <c r="C150" s="10">
        <v>13784250</v>
      </c>
      <c r="D150" s="139"/>
      <c r="E150" s="10">
        <f t="shared" si="39"/>
        <v>13784250</v>
      </c>
      <c r="F150" s="144">
        <f t="shared" si="40"/>
        <v>0</v>
      </c>
    </row>
    <row r="151" spans="1:6" ht="30" x14ac:dyDescent="0.3">
      <c r="A151" s="139">
        <v>2221</v>
      </c>
      <c r="B151" s="140" t="s">
        <v>98</v>
      </c>
      <c r="C151" s="10">
        <v>2770000</v>
      </c>
      <c r="D151" s="139"/>
      <c r="E151" s="10">
        <f t="shared" si="39"/>
        <v>2770000</v>
      </c>
      <c r="F151" s="144">
        <f t="shared" si="40"/>
        <v>0</v>
      </c>
    </row>
    <row r="152" spans="1:6" s="3" customFormat="1" ht="30" x14ac:dyDescent="0.35">
      <c r="A152" s="139">
        <v>2295</v>
      </c>
      <c r="B152" s="140" t="s">
        <v>99</v>
      </c>
      <c r="C152" s="10">
        <v>2100000</v>
      </c>
      <c r="D152" s="139"/>
      <c r="E152" s="10">
        <f t="shared" si="39"/>
        <v>2100000</v>
      </c>
      <c r="F152" s="144">
        <f t="shared" si="40"/>
        <v>0</v>
      </c>
    </row>
    <row r="153" spans="1:6" ht="45" x14ac:dyDescent="0.3">
      <c r="A153" s="139">
        <v>2296</v>
      </c>
      <c r="B153" s="140" t="s">
        <v>92</v>
      </c>
      <c r="C153" s="10">
        <v>3090500</v>
      </c>
      <c r="D153" s="139"/>
      <c r="E153" s="10">
        <f t="shared" si="39"/>
        <v>3090500</v>
      </c>
      <c r="F153" s="144">
        <f t="shared" si="40"/>
        <v>0</v>
      </c>
    </row>
    <row r="154" spans="1:6" ht="30" x14ac:dyDescent="0.3">
      <c r="A154" s="139">
        <v>2300</v>
      </c>
      <c r="B154" s="140" t="s">
        <v>196</v>
      </c>
      <c r="C154" s="10">
        <v>8220000</v>
      </c>
      <c r="D154" s="139"/>
      <c r="E154" s="10">
        <f t="shared" si="39"/>
        <v>8220000</v>
      </c>
      <c r="F154" s="144">
        <f t="shared" si="40"/>
        <v>0</v>
      </c>
    </row>
    <row r="155" spans="1:6" ht="45" x14ac:dyDescent="0.3">
      <c r="A155" s="139">
        <v>2320</v>
      </c>
      <c r="B155" s="140" t="s">
        <v>93</v>
      </c>
      <c r="C155" s="10">
        <v>4500000</v>
      </c>
      <c r="D155" s="139"/>
      <c r="E155" s="10">
        <f t="shared" si="39"/>
        <v>4500000</v>
      </c>
      <c r="F155" s="144">
        <f t="shared" si="40"/>
        <v>0</v>
      </c>
    </row>
    <row r="156" spans="1:6" ht="30" x14ac:dyDescent="0.3">
      <c r="A156" s="139">
        <v>2321</v>
      </c>
      <c r="B156" s="140" t="s">
        <v>123</v>
      </c>
      <c r="C156" s="10">
        <v>4375000</v>
      </c>
      <c r="D156" s="139"/>
      <c r="E156" s="10">
        <f t="shared" si="39"/>
        <v>4375000</v>
      </c>
      <c r="F156" s="144">
        <f t="shared" si="40"/>
        <v>0</v>
      </c>
    </row>
    <row r="157" spans="1:6" ht="30" x14ac:dyDescent="0.3">
      <c r="A157" s="139">
        <v>2346</v>
      </c>
      <c r="B157" s="140" t="s">
        <v>100</v>
      </c>
      <c r="C157" s="10">
        <v>2770000</v>
      </c>
      <c r="D157" s="139"/>
      <c r="E157" s="10">
        <f t="shared" si="39"/>
        <v>2770000</v>
      </c>
      <c r="F157" s="144">
        <f t="shared" si="40"/>
        <v>0</v>
      </c>
    </row>
    <row r="158" spans="1:6" ht="15" x14ac:dyDescent="0.3">
      <c r="A158" s="139">
        <v>4084</v>
      </c>
      <c r="B158" s="140" t="s">
        <v>254</v>
      </c>
      <c r="C158" s="10">
        <v>4580034.540000001</v>
      </c>
      <c r="D158" s="139"/>
      <c r="E158" s="10">
        <f t="shared" si="39"/>
        <v>4580034.540000001</v>
      </c>
      <c r="F158" s="144">
        <f t="shared" si="40"/>
        <v>0</v>
      </c>
    </row>
    <row r="159" spans="1:6" ht="15" x14ac:dyDescent="0.3">
      <c r="A159" s="139">
        <v>4085</v>
      </c>
      <c r="B159" s="140" t="s">
        <v>159</v>
      </c>
      <c r="C159" s="10">
        <v>2699999.9999999995</v>
      </c>
      <c r="D159" s="139"/>
      <c r="E159" s="10">
        <f t="shared" si="39"/>
        <v>2699999.9999999995</v>
      </c>
      <c r="F159" s="144">
        <f t="shared" si="40"/>
        <v>0</v>
      </c>
    </row>
    <row r="160" spans="1:6" ht="30" x14ac:dyDescent="0.3">
      <c r="A160" s="139">
        <v>4086</v>
      </c>
      <c r="B160" s="140" t="s">
        <v>194</v>
      </c>
      <c r="C160" s="10">
        <v>3029642</v>
      </c>
      <c r="D160" s="139"/>
      <c r="E160" s="10">
        <f t="shared" si="39"/>
        <v>3029642</v>
      </c>
      <c r="F160" s="144">
        <f t="shared" si="40"/>
        <v>0</v>
      </c>
    </row>
    <row r="161" spans="1:6" ht="30" x14ac:dyDescent="0.3">
      <c r="A161" s="139">
        <v>4279</v>
      </c>
      <c r="B161" s="140" t="s">
        <v>195</v>
      </c>
      <c r="C161" s="10">
        <v>27359999.999999996</v>
      </c>
      <c r="D161" s="139"/>
      <c r="E161" s="10">
        <f t="shared" si="39"/>
        <v>27359999.999999996</v>
      </c>
      <c r="F161" s="144">
        <f t="shared" si="40"/>
        <v>0</v>
      </c>
    </row>
    <row r="162" spans="1:6" s="3" customFormat="1" ht="45" x14ac:dyDescent="0.35">
      <c r="A162" s="139">
        <v>4286</v>
      </c>
      <c r="B162" s="140" t="s">
        <v>101</v>
      </c>
      <c r="C162" s="10">
        <v>7251750</v>
      </c>
      <c r="D162" s="139"/>
      <c r="E162" s="10">
        <f t="shared" si="39"/>
        <v>7251750</v>
      </c>
      <c r="F162" s="144">
        <f t="shared" si="40"/>
        <v>0</v>
      </c>
    </row>
    <row r="163" spans="1:6" ht="135" x14ac:dyDescent="0.3">
      <c r="A163" s="139">
        <v>4427</v>
      </c>
      <c r="B163" s="140" t="s">
        <v>193</v>
      </c>
      <c r="C163" s="10">
        <v>148500000</v>
      </c>
      <c r="D163" s="139"/>
      <c r="E163" s="10">
        <f t="shared" si="39"/>
        <v>148500000</v>
      </c>
      <c r="F163" s="144">
        <f t="shared" si="40"/>
        <v>0</v>
      </c>
    </row>
    <row r="164" spans="1:6" ht="30" x14ac:dyDescent="0.3">
      <c r="A164" s="139">
        <v>4436</v>
      </c>
      <c r="B164" s="140" t="s">
        <v>255</v>
      </c>
      <c r="C164" s="10">
        <v>105300000</v>
      </c>
      <c r="D164" s="139"/>
      <c r="E164" s="10">
        <f t="shared" si="39"/>
        <v>105300000</v>
      </c>
      <c r="F164" s="144">
        <f t="shared" si="40"/>
        <v>0</v>
      </c>
    </row>
    <row r="165" spans="1:6" ht="15.6" thickBot="1" x14ac:dyDescent="0.35">
      <c r="A165" s="139">
        <v>4444</v>
      </c>
      <c r="B165" s="140" t="s">
        <v>256</v>
      </c>
      <c r="C165" s="10">
        <v>4500000</v>
      </c>
      <c r="D165" s="139"/>
      <c r="E165" s="10">
        <f t="shared" si="39"/>
        <v>4500000</v>
      </c>
      <c r="F165" s="144">
        <f t="shared" si="40"/>
        <v>0</v>
      </c>
    </row>
    <row r="166" spans="1:6" ht="18" thickBot="1" x14ac:dyDescent="0.35">
      <c r="A166" s="56"/>
      <c r="B166" s="125" t="s">
        <v>198</v>
      </c>
      <c r="C166" s="57">
        <f>SUM(C132:C165)</f>
        <v>444537826.53999996</v>
      </c>
      <c r="D166" s="57">
        <f t="shared" ref="D166:E166" si="41">SUM(D132:D165)</f>
        <v>0</v>
      </c>
      <c r="E166" s="57">
        <f t="shared" si="41"/>
        <v>444537826.53999996</v>
      </c>
      <c r="F166" s="73">
        <f>D166/C166</f>
        <v>0</v>
      </c>
    </row>
    <row r="167" spans="1:6" x14ac:dyDescent="0.3">
      <c r="A167" s="1"/>
      <c r="B167" s="137"/>
      <c r="C167" s="142"/>
      <c r="D167"/>
      <c r="F167"/>
    </row>
    <row r="168" spans="1:6" ht="21" x14ac:dyDescent="0.4">
      <c r="A168" s="152" t="s">
        <v>257</v>
      </c>
      <c r="B168" s="152"/>
      <c r="C168" s="152"/>
      <c r="D168" s="152"/>
      <c r="E168" s="152"/>
      <c r="F168" s="152"/>
    </row>
    <row r="169" spans="1:6" ht="15.6" x14ac:dyDescent="0.3">
      <c r="A169" s="120"/>
      <c r="B169" s="120" t="s">
        <v>65</v>
      </c>
      <c r="C169" s="25" t="s">
        <v>64</v>
      </c>
      <c r="D169" s="25" t="s">
        <v>66</v>
      </c>
      <c r="E169" s="26" t="s">
        <v>67</v>
      </c>
      <c r="F169" s="59" t="s">
        <v>205</v>
      </c>
    </row>
    <row r="170" spans="1:6" ht="15" x14ac:dyDescent="0.3">
      <c r="A170" s="151">
        <v>1</v>
      </c>
      <c r="B170" s="140" t="s">
        <v>250</v>
      </c>
      <c r="C170" s="10">
        <f>C103</f>
        <v>940378497</v>
      </c>
      <c r="D170" s="10">
        <f>D103</f>
        <v>644049362</v>
      </c>
      <c r="E170" s="10">
        <f>E103</f>
        <v>242072485</v>
      </c>
      <c r="F170" s="144">
        <f>D170/C170</f>
        <v>0.68488312318353661</v>
      </c>
    </row>
    <row r="171" spans="1:6" ht="34.200000000000003" customHeight="1" x14ac:dyDescent="0.3">
      <c r="A171" s="151">
        <v>2</v>
      </c>
      <c r="B171" s="140" t="s">
        <v>251</v>
      </c>
      <c r="C171" s="10">
        <f>C112</f>
        <v>488276601</v>
      </c>
      <c r="D171" s="10">
        <f>D112</f>
        <v>470618240</v>
      </c>
      <c r="E171" s="10">
        <f>E112</f>
        <v>17658361</v>
      </c>
      <c r="F171" s="144">
        <f t="shared" ref="F171:F173" si="42">D171/C171</f>
        <v>0.96383533234270224</v>
      </c>
    </row>
    <row r="172" spans="1:6" ht="30" x14ac:dyDescent="0.3">
      <c r="A172" s="151">
        <v>3</v>
      </c>
      <c r="B172" s="140" t="s">
        <v>252</v>
      </c>
      <c r="C172" s="10">
        <f>C128</f>
        <v>1844946120.303</v>
      </c>
      <c r="D172" s="10">
        <f>D128</f>
        <v>341236330</v>
      </c>
      <c r="E172" s="10">
        <f>E128</f>
        <v>1503709790.303</v>
      </c>
      <c r="F172" s="144">
        <f t="shared" si="42"/>
        <v>0.18495734170489375</v>
      </c>
    </row>
    <row r="173" spans="1:6" ht="15" x14ac:dyDescent="0.3">
      <c r="A173" s="151">
        <v>4</v>
      </c>
      <c r="B173" s="140" t="s">
        <v>258</v>
      </c>
      <c r="C173" s="10">
        <f>C166</f>
        <v>444537826.53999996</v>
      </c>
      <c r="D173" s="10">
        <f>D166</f>
        <v>0</v>
      </c>
      <c r="E173" s="10">
        <f>E166</f>
        <v>444537826.53999996</v>
      </c>
      <c r="F173" s="144">
        <f t="shared" si="42"/>
        <v>0</v>
      </c>
    </row>
    <row r="174" spans="1:6" ht="18" thickBot="1" x14ac:dyDescent="0.35">
      <c r="A174" s="147">
        <v>5</v>
      </c>
      <c r="B174" s="148" t="s">
        <v>198</v>
      </c>
      <c r="C174" s="149">
        <f>SUM(C170:C173)</f>
        <v>3718139044.8429999</v>
      </c>
      <c r="D174" s="149">
        <f t="shared" ref="D174:E174" si="43">SUM(D170:D173)</f>
        <v>1455903932</v>
      </c>
      <c r="E174" s="149">
        <f t="shared" si="43"/>
        <v>2207978462.8429999</v>
      </c>
      <c r="F174" s="150">
        <f>D174/C174</f>
        <v>0.39156790922580365</v>
      </c>
    </row>
    <row r="175" spans="1:6" x14ac:dyDescent="0.3">
      <c r="A175" s="1"/>
      <c r="B175" s="137"/>
      <c r="C175" s="142"/>
      <c r="D175"/>
      <c r="F175"/>
    </row>
    <row r="176" spans="1:6" x14ac:dyDescent="0.3">
      <c r="A176" s="1"/>
      <c r="B176" s="137"/>
      <c r="C176" s="142"/>
      <c r="D176"/>
      <c r="F176"/>
    </row>
    <row r="177" spans="1:6" x14ac:dyDescent="0.3">
      <c r="A177" s="1"/>
      <c r="B177" s="137"/>
      <c r="C177" s="142"/>
      <c r="D177"/>
      <c r="F177"/>
    </row>
    <row r="178" spans="1:6" x14ac:dyDescent="0.3">
      <c r="A178" s="1"/>
      <c r="B178" s="137"/>
      <c r="C178" s="142"/>
      <c r="D178"/>
      <c r="F178"/>
    </row>
    <row r="179" spans="1:6" x14ac:dyDescent="0.3">
      <c r="A179" s="1"/>
      <c r="B179" s="137"/>
      <c r="C179" s="142"/>
      <c r="D179"/>
      <c r="F179"/>
    </row>
    <row r="180" spans="1:6" x14ac:dyDescent="0.3">
      <c r="A180" s="1"/>
      <c r="B180" s="137"/>
      <c r="C180" s="142"/>
      <c r="D180"/>
      <c r="F180"/>
    </row>
    <row r="181" spans="1:6" x14ac:dyDescent="0.3">
      <c r="A181" s="1"/>
      <c r="B181" s="137"/>
      <c r="C181" s="142"/>
      <c r="D181"/>
      <c r="F181"/>
    </row>
    <row r="182" spans="1:6" s="3" customFormat="1" ht="18" x14ac:dyDescent="0.35">
      <c r="A182" s="2"/>
      <c r="B182" s="138"/>
      <c r="C182" s="143"/>
    </row>
    <row r="183" spans="1:6" s="3" customFormat="1" ht="18" x14ac:dyDescent="0.35">
      <c r="A183" s="2"/>
      <c r="B183" s="138"/>
      <c r="C183" s="143"/>
    </row>
    <row r="184" spans="1:6" x14ac:dyDescent="0.3">
      <c r="A184" s="1"/>
      <c r="B184" s="137"/>
      <c r="C184" s="142"/>
      <c r="D184"/>
      <c r="F184"/>
    </row>
    <row r="185" spans="1:6" x14ac:dyDescent="0.3">
      <c r="A185" s="1"/>
      <c r="B185" s="137"/>
      <c r="C185" s="142"/>
      <c r="D185"/>
      <c r="F185"/>
    </row>
    <row r="186" spans="1:6" x14ac:dyDescent="0.3">
      <c r="A186" s="1"/>
      <c r="B186" s="137"/>
      <c r="C186" s="142"/>
      <c r="D186"/>
      <c r="F186"/>
    </row>
    <row r="187" spans="1:6" x14ac:dyDescent="0.3">
      <c r="A187" s="1"/>
      <c r="B187" s="137"/>
      <c r="C187" s="142"/>
      <c r="D187"/>
      <c r="F187"/>
    </row>
    <row r="188" spans="1:6" s="3" customFormat="1" ht="18" x14ac:dyDescent="0.35">
      <c r="A188" s="2"/>
      <c r="B188" s="138"/>
      <c r="C188" s="143"/>
    </row>
    <row r="189" spans="1:6" x14ac:dyDescent="0.3">
      <c r="A189" s="1"/>
      <c r="B189" s="137"/>
      <c r="C189" s="142"/>
      <c r="D189"/>
      <c r="F189"/>
    </row>
    <row r="190" spans="1:6" x14ac:dyDescent="0.3">
      <c r="A190" s="1"/>
      <c r="B190" s="137"/>
      <c r="C190" s="142"/>
      <c r="D190"/>
      <c r="F190"/>
    </row>
    <row r="191" spans="1:6" x14ac:dyDescent="0.3">
      <c r="A191" s="1"/>
      <c r="B191" s="137"/>
      <c r="C191" s="142"/>
      <c r="D191"/>
      <c r="F191"/>
    </row>
    <row r="192" spans="1:6" x14ac:dyDescent="0.3">
      <c r="A192" s="1"/>
      <c r="B192" s="137"/>
      <c r="C192" s="142"/>
      <c r="D192"/>
      <c r="F192"/>
    </row>
    <row r="193" spans="1:6" x14ac:dyDescent="0.3">
      <c r="A193" s="1"/>
      <c r="B193" s="137"/>
      <c r="C193" s="142"/>
      <c r="D193"/>
      <c r="F193"/>
    </row>
    <row r="194" spans="1:6" x14ac:dyDescent="0.3">
      <c r="A194" s="1"/>
      <c r="B194" s="137"/>
      <c r="C194" s="142"/>
      <c r="D194"/>
      <c r="F194"/>
    </row>
    <row r="195" spans="1:6" x14ac:dyDescent="0.3">
      <c r="A195" s="1"/>
      <c r="B195" s="137"/>
      <c r="C195" s="142"/>
      <c r="D195"/>
      <c r="F195"/>
    </row>
    <row r="196" spans="1:6" x14ac:dyDescent="0.3">
      <c r="A196" s="1"/>
      <c r="B196" s="137"/>
      <c r="C196" s="142"/>
      <c r="D196"/>
      <c r="F196"/>
    </row>
    <row r="197" spans="1:6" x14ac:dyDescent="0.3">
      <c r="A197" s="1"/>
      <c r="B197" s="137"/>
      <c r="C197" s="142"/>
      <c r="D197"/>
      <c r="F197"/>
    </row>
    <row r="198" spans="1:6" x14ac:dyDescent="0.3">
      <c r="A198" s="1"/>
      <c r="B198" s="137"/>
      <c r="C198" s="142"/>
      <c r="D198"/>
      <c r="F198"/>
    </row>
    <row r="199" spans="1:6" s="3" customFormat="1" ht="18" x14ac:dyDescent="0.35">
      <c r="A199" s="2"/>
      <c r="B199" s="138"/>
      <c r="C199" s="143"/>
    </row>
    <row r="200" spans="1:6" x14ac:dyDescent="0.3">
      <c r="A200" s="1"/>
      <c r="B200" s="137"/>
      <c r="C200" s="142"/>
      <c r="D200"/>
      <c r="F200"/>
    </row>
    <row r="201" spans="1:6" x14ac:dyDescent="0.3">
      <c r="A201" s="1"/>
      <c r="B201" s="137"/>
      <c r="C201" s="142"/>
      <c r="D201"/>
      <c r="F201"/>
    </row>
    <row r="202" spans="1:6" x14ac:dyDescent="0.3">
      <c r="A202" s="1"/>
      <c r="B202" s="137"/>
      <c r="C202" s="142"/>
      <c r="D202"/>
      <c r="F202"/>
    </row>
    <row r="203" spans="1:6" s="3" customFormat="1" ht="18" x14ac:dyDescent="0.35">
      <c r="A203" s="2"/>
      <c r="B203" s="138"/>
      <c r="C203" s="143"/>
    </row>
    <row r="204" spans="1:6" x14ac:dyDescent="0.3">
      <c r="A204" s="1"/>
      <c r="B204" s="137"/>
      <c r="C204" s="142"/>
      <c r="D204"/>
      <c r="F204"/>
    </row>
    <row r="205" spans="1:6" x14ac:dyDescent="0.3">
      <c r="A205" s="1"/>
      <c r="B205" s="137"/>
      <c r="C205" s="142"/>
      <c r="D205"/>
      <c r="F205"/>
    </row>
    <row r="206" spans="1:6" ht="27.6" customHeight="1" x14ac:dyDescent="0.3">
      <c r="C206" s="129"/>
      <c r="D206"/>
      <c r="F206"/>
    </row>
    <row r="207" spans="1:6" x14ac:dyDescent="0.3">
      <c r="C207" s="129"/>
      <c r="D207"/>
      <c r="F207"/>
    </row>
    <row r="208" spans="1:6" x14ac:dyDescent="0.3">
      <c r="C208" s="129"/>
      <c r="D208"/>
      <c r="F208"/>
    </row>
    <row r="209" spans="3:6" x14ac:dyDescent="0.3">
      <c r="C209" s="129"/>
      <c r="D209"/>
      <c r="F209"/>
    </row>
  </sheetData>
  <mergeCells count="6">
    <mergeCell ref="A168:F168"/>
    <mergeCell ref="A1:F1"/>
    <mergeCell ref="A2:F2"/>
    <mergeCell ref="A105:F105"/>
    <mergeCell ref="A114:F114"/>
    <mergeCell ref="A130:F130"/>
  </mergeCells>
  <conditionalFormatting sqref="B21">
    <cfRule type="duplicateValues" dxfId="59" priority="18"/>
  </conditionalFormatting>
  <conditionalFormatting sqref="B28">
    <cfRule type="duplicateValues" dxfId="58" priority="17"/>
  </conditionalFormatting>
  <conditionalFormatting sqref="B32:B33 B29">
    <cfRule type="duplicateValues" dxfId="57" priority="16"/>
  </conditionalFormatting>
  <conditionalFormatting sqref="B41">
    <cfRule type="duplicateValues" dxfId="56" priority="15"/>
  </conditionalFormatting>
  <conditionalFormatting sqref="B51">
    <cfRule type="duplicateValues" dxfId="55" priority="14"/>
  </conditionalFormatting>
  <conditionalFormatting sqref="B65">
    <cfRule type="duplicateValues" dxfId="54" priority="13"/>
  </conditionalFormatting>
  <conditionalFormatting sqref="B53:B54">
    <cfRule type="duplicateValues" dxfId="53" priority="12"/>
  </conditionalFormatting>
  <conditionalFormatting sqref="B58">
    <cfRule type="duplicateValues" dxfId="52" priority="9"/>
  </conditionalFormatting>
  <conditionalFormatting sqref="B73">
    <cfRule type="duplicateValues" dxfId="51" priority="6"/>
  </conditionalFormatting>
  <conditionalFormatting sqref="B60:B63">
    <cfRule type="duplicateValues" dxfId="50" priority="19"/>
  </conditionalFormatting>
  <conditionalFormatting sqref="B94 B81:B83">
    <cfRule type="duplicateValues" dxfId="49" priority="20"/>
  </conditionalFormatting>
  <conditionalFormatting sqref="B57">
    <cfRule type="duplicateValues" dxfId="48" priority="21"/>
  </conditionalFormatting>
  <conditionalFormatting sqref="B8 B6">
    <cfRule type="duplicateValues" dxfId="47" priority="22"/>
  </conditionalFormatting>
  <conditionalFormatting sqref="B78">
    <cfRule type="duplicateValues" dxfId="46" priority="23"/>
  </conditionalFormatting>
  <conditionalFormatting sqref="B22:B24">
    <cfRule type="duplicateValues" dxfId="45" priority="24"/>
  </conditionalFormatting>
  <conditionalFormatting sqref="B52">
    <cfRule type="duplicateValues" dxfId="44" priority="25"/>
  </conditionalFormatting>
  <conditionalFormatting sqref="B55">
    <cfRule type="duplicateValues" dxfId="43" priority="26"/>
  </conditionalFormatting>
  <conditionalFormatting sqref="B56">
    <cfRule type="duplicateValues" dxfId="42" priority="27"/>
  </conditionalFormatting>
  <conditionalFormatting sqref="B59">
    <cfRule type="duplicateValues" dxfId="41" priority="28"/>
  </conditionalFormatting>
  <conditionalFormatting sqref="B34:B36">
    <cfRule type="duplicateValues" dxfId="40" priority="29"/>
  </conditionalFormatting>
  <conditionalFormatting sqref="B30:B31">
    <cfRule type="duplicateValues" dxfId="39" priority="30"/>
  </conditionalFormatting>
  <conditionalFormatting sqref="B26:B27">
    <cfRule type="duplicateValues" dxfId="38" priority="31"/>
  </conditionalFormatting>
  <conditionalFormatting sqref="B85:B87">
    <cfRule type="duplicateValues" dxfId="37" priority="32"/>
  </conditionalFormatting>
  <conditionalFormatting sqref="B89:B93">
    <cfRule type="duplicateValues" dxfId="36" priority="33"/>
  </conditionalFormatting>
  <conditionalFormatting sqref="B74">
    <cfRule type="duplicateValues" dxfId="35" priority="34"/>
  </conditionalFormatting>
  <conditionalFormatting sqref="B120">
    <cfRule type="duplicateValues" dxfId="34" priority="1"/>
  </conditionalFormatting>
  <conditionalFormatting sqref="B71:B72">
    <cfRule type="duplicateValues" dxfId="33" priority="181"/>
  </conditionalFormatting>
  <conditionalFormatting sqref="B76:B77">
    <cfRule type="duplicateValues" dxfId="32" priority="182"/>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98"/>
    </sheetView>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0"/>
  <sheetViews>
    <sheetView topLeftCell="A23" workbookViewId="0">
      <selection activeCell="D97" sqref="D97"/>
    </sheetView>
  </sheetViews>
  <sheetFormatPr baseColWidth="10" defaultRowHeight="14.4" x14ac:dyDescent="0.3"/>
  <cols>
    <col min="1" max="1" width="8.21875" bestFit="1" customWidth="1"/>
    <col min="2" max="2" width="64.88671875" style="75" customWidth="1"/>
    <col min="3" max="3" width="20.5546875" bestFit="1" customWidth="1"/>
    <col min="4" max="5" width="17.44140625" bestFit="1" customWidth="1"/>
    <col min="6" max="6" width="22.6640625" bestFit="1" customWidth="1"/>
  </cols>
  <sheetData>
    <row r="1" spans="1:6" ht="17.399999999999999" x14ac:dyDescent="0.3">
      <c r="A1" s="126" t="s">
        <v>221</v>
      </c>
      <c r="B1" s="126"/>
      <c r="C1" s="126"/>
      <c r="D1" s="126"/>
      <c r="E1" s="126"/>
      <c r="F1" s="126"/>
    </row>
    <row r="2" spans="1:6" ht="15.6" x14ac:dyDescent="0.3">
      <c r="A2" s="24"/>
      <c r="B2" s="120" t="s">
        <v>65</v>
      </c>
      <c r="C2" s="25" t="s">
        <v>64</v>
      </c>
      <c r="D2" s="25" t="s">
        <v>66</v>
      </c>
      <c r="E2" s="26" t="s">
        <v>67</v>
      </c>
      <c r="F2" s="59" t="s">
        <v>205</v>
      </c>
    </row>
    <row r="3" spans="1:6" ht="15.6" x14ac:dyDescent="0.3">
      <c r="A3" s="23" t="s">
        <v>35</v>
      </c>
      <c r="B3" s="121" t="s">
        <v>36</v>
      </c>
      <c r="C3" s="29">
        <f>SUM(C4,C14,C42,C76,C97)</f>
        <v>1274833544</v>
      </c>
      <c r="D3" s="29">
        <f>SUM(D4,D14,D42,D76,D97)</f>
        <v>887093302</v>
      </c>
      <c r="E3" s="53">
        <f>SUM(E4,E14,E42,E76,E97)</f>
        <v>387740242</v>
      </c>
      <c r="F3" s="60">
        <f>D3/C3</f>
        <v>0.69585029839785895</v>
      </c>
    </row>
    <row r="4" spans="1:6" ht="15.6" x14ac:dyDescent="0.3">
      <c r="A4" s="16" t="s">
        <v>37</v>
      </c>
      <c r="B4" s="122" t="s">
        <v>38</v>
      </c>
      <c r="C4" s="17">
        <f>SUM(C5,C8,C11)</f>
        <v>499141344</v>
      </c>
      <c r="D4" s="17">
        <f>SUM(D5,D8,D11)</f>
        <v>481082983</v>
      </c>
      <c r="E4" s="43">
        <f>SUM(E5,E8,E11)</f>
        <v>18058361</v>
      </c>
      <c r="F4" s="61">
        <f>D4/C4</f>
        <v>0.96382114762266613</v>
      </c>
    </row>
    <row r="5" spans="1:6" ht="15.6" x14ac:dyDescent="0.3">
      <c r="A5" s="19" t="s">
        <v>213</v>
      </c>
      <c r="B5" s="78" t="s">
        <v>214</v>
      </c>
      <c r="C5" s="20">
        <f>SUM(C6:C7)</f>
        <v>177200000</v>
      </c>
      <c r="D5" s="20">
        <f>SUM(D6:D7)</f>
        <v>159341639</v>
      </c>
      <c r="E5" s="44">
        <f>SUM(E6:E7)</f>
        <v>17858361</v>
      </c>
      <c r="F5" s="76">
        <f>D5/C5</f>
        <v>0.89921918171557558</v>
      </c>
    </row>
    <row r="6" spans="1:6" ht="15.6" x14ac:dyDescent="0.3">
      <c r="A6" s="6" t="s">
        <v>0</v>
      </c>
      <c r="B6" s="6" t="s">
        <v>68</v>
      </c>
      <c r="C6" s="10">
        <v>174000000</v>
      </c>
      <c r="D6" s="10">
        <v>156341639</v>
      </c>
      <c r="E6" s="38">
        <f>C6-D6</f>
        <v>17658361</v>
      </c>
      <c r="F6" s="62">
        <f>D6/C6</f>
        <v>0.89851516666666664</v>
      </c>
    </row>
    <row r="7" spans="1:6" ht="15.6" x14ac:dyDescent="0.3">
      <c r="A7" s="6" t="s">
        <v>2</v>
      </c>
      <c r="B7" s="7" t="s">
        <v>69</v>
      </c>
      <c r="C7" s="30">
        <v>3200000</v>
      </c>
      <c r="D7" s="10">
        <f>2250000+750000</f>
        <v>3000000</v>
      </c>
      <c r="E7" s="38">
        <f>C7-D7</f>
        <v>200000</v>
      </c>
      <c r="F7" s="62">
        <f>D7/C7</f>
        <v>0.9375</v>
      </c>
    </row>
    <row r="8" spans="1:6" ht="15.6" x14ac:dyDescent="0.3">
      <c r="A8" s="18" t="s">
        <v>213</v>
      </c>
      <c r="B8" s="18" t="s">
        <v>212</v>
      </c>
      <c r="C8" s="20">
        <f>SUM(C9:C10)</f>
        <v>314276601</v>
      </c>
      <c r="D8" s="20">
        <f>SUM(D9:D10)</f>
        <v>314276601</v>
      </c>
      <c r="E8" s="44">
        <f>SUM(E9:E10)</f>
        <v>0</v>
      </c>
      <c r="F8" s="77">
        <f t="shared" ref="F8:F11" si="0">D8/C8</f>
        <v>1</v>
      </c>
    </row>
    <row r="9" spans="1:6" ht="15.6" x14ac:dyDescent="0.3">
      <c r="A9" s="6" t="s">
        <v>72</v>
      </c>
      <c r="B9" s="6" t="s">
        <v>70</v>
      </c>
      <c r="C9" s="10">
        <v>36500000</v>
      </c>
      <c r="D9" s="10">
        <v>36500000</v>
      </c>
      <c r="E9" s="38">
        <f>C9-D9</f>
        <v>0</v>
      </c>
      <c r="F9" s="62">
        <f t="shared" si="0"/>
        <v>1</v>
      </c>
    </row>
    <row r="10" spans="1:6" ht="15.6" x14ac:dyDescent="0.3">
      <c r="A10" s="6" t="s">
        <v>1</v>
      </c>
      <c r="B10" s="6" t="s">
        <v>3</v>
      </c>
      <c r="C10" s="10">
        <v>277776601</v>
      </c>
      <c r="D10" s="10">
        <v>277776601</v>
      </c>
      <c r="E10" s="38">
        <f>C10-D10</f>
        <v>0</v>
      </c>
      <c r="F10" s="62">
        <f>D10/C10</f>
        <v>1</v>
      </c>
    </row>
    <row r="11" spans="1:6" ht="15.6" x14ac:dyDescent="0.3">
      <c r="A11" s="18" t="s">
        <v>215</v>
      </c>
      <c r="B11" s="78" t="s">
        <v>216</v>
      </c>
      <c r="C11" s="79">
        <f>SUM(C12:C13)</f>
        <v>7664743</v>
      </c>
      <c r="D11" s="20">
        <f>SUM(D12:D13)</f>
        <v>7464743</v>
      </c>
      <c r="E11" s="44">
        <f>SUM(E12:E13)</f>
        <v>200000</v>
      </c>
      <c r="F11" s="77">
        <f t="shared" si="0"/>
        <v>0.97390649627782688</v>
      </c>
    </row>
    <row r="12" spans="1:6" ht="15.6" x14ac:dyDescent="0.3">
      <c r="A12" s="35"/>
      <c r="B12" s="35" t="s">
        <v>203</v>
      </c>
      <c r="C12" s="37">
        <v>6464743</v>
      </c>
      <c r="D12" s="37">
        <v>6464743</v>
      </c>
      <c r="E12" s="38">
        <f>C12-D12</f>
        <v>0</v>
      </c>
      <c r="F12" s="62">
        <f>D12/C12</f>
        <v>1</v>
      </c>
    </row>
    <row r="13" spans="1:6" ht="15.6" x14ac:dyDescent="0.3">
      <c r="A13" s="6" t="s">
        <v>71</v>
      </c>
      <c r="B13" s="7" t="s">
        <v>199</v>
      </c>
      <c r="C13" s="30">
        <v>1200000</v>
      </c>
      <c r="D13" s="10">
        <v>1000000</v>
      </c>
      <c r="E13" s="38">
        <f>C13-D13</f>
        <v>200000</v>
      </c>
      <c r="F13" s="62">
        <f>D13/C13</f>
        <v>0.83333333333333337</v>
      </c>
    </row>
    <row r="14" spans="1:6" ht="15.6" x14ac:dyDescent="0.3">
      <c r="A14" s="16" t="s">
        <v>39</v>
      </c>
      <c r="B14" s="122" t="s">
        <v>40</v>
      </c>
      <c r="C14" s="17">
        <f>SUM(C15,C19,C22,C25,C30)</f>
        <v>192079600</v>
      </c>
      <c r="D14" s="17">
        <f>SUM(D15,D19,D22,D25,D30)</f>
        <v>154641350</v>
      </c>
      <c r="E14" s="42">
        <f>SUM(E15,E19,E22,E25,E30)</f>
        <v>37438250</v>
      </c>
      <c r="F14" s="63">
        <f>D14/C14</f>
        <v>0.80508992105356325</v>
      </c>
    </row>
    <row r="15" spans="1:6" ht="15.6" x14ac:dyDescent="0.3">
      <c r="A15" s="18" t="s">
        <v>4</v>
      </c>
      <c r="B15" s="18" t="s">
        <v>5</v>
      </c>
      <c r="C15" s="20">
        <f>SUM(C16:C18)</f>
        <v>19420000</v>
      </c>
      <c r="D15" s="20">
        <f>SUM(D16:D18)</f>
        <v>17534000</v>
      </c>
      <c r="E15" s="44">
        <f>SUM(E16:E18)</f>
        <v>1886000</v>
      </c>
      <c r="F15" s="64">
        <f>D15/C15</f>
        <v>0.90288362512873321</v>
      </c>
    </row>
    <row r="16" spans="1:6" ht="15.6" x14ac:dyDescent="0.3">
      <c r="A16" s="6"/>
      <c r="B16" s="9" t="s">
        <v>242</v>
      </c>
      <c r="C16" s="10">
        <v>17440000</v>
      </c>
      <c r="D16" s="10">
        <f>76000+73000+719500+783500+741000+577500+4300000+3420000+1500000+676500+1642500+1025000+344000+441500</f>
        <v>16320000</v>
      </c>
      <c r="E16" s="38">
        <f>C16-D16</f>
        <v>1120000</v>
      </c>
      <c r="F16" s="65">
        <f>D16/C16</f>
        <v>0.93577981651376152</v>
      </c>
    </row>
    <row r="17" spans="1:6" ht="15.6" x14ac:dyDescent="0.3">
      <c r="A17" s="6"/>
      <c r="B17" s="9" t="s">
        <v>243</v>
      </c>
      <c r="C17" s="10">
        <v>1140000</v>
      </c>
      <c r="D17" s="10">
        <f>525000+447500</f>
        <v>972500</v>
      </c>
      <c r="E17" s="38">
        <f t="shared" ref="E17:E18" si="1">C17-D17</f>
        <v>167500</v>
      </c>
      <c r="F17" s="65">
        <f t="shared" ref="F17:F18" si="2">D17/C17</f>
        <v>0.85307017543859653</v>
      </c>
    </row>
    <row r="18" spans="1:6" ht="15.6" x14ac:dyDescent="0.3">
      <c r="A18" s="6"/>
      <c r="B18" s="9" t="s">
        <v>244</v>
      </c>
      <c r="C18" s="10">
        <v>840000</v>
      </c>
      <c r="D18" s="10">
        <v>241500</v>
      </c>
      <c r="E18" s="38">
        <f t="shared" si="1"/>
        <v>598500</v>
      </c>
      <c r="F18" s="65">
        <f t="shared" si="2"/>
        <v>0.28749999999999998</v>
      </c>
    </row>
    <row r="19" spans="1:6" ht="15.6" x14ac:dyDescent="0.3">
      <c r="A19" s="18" t="s">
        <v>6</v>
      </c>
      <c r="B19" s="18" t="s">
        <v>187</v>
      </c>
      <c r="C19" s="20">
        <f>SUM(C20:C21)</f>
        <v>8480000</v>
      </c>
      <c r="D19" s="20">
        <f>SUM(D20:D21)</f>
        <v>665500</v>
      </c>
      <c r="E19" s="44">
        <f>SUM(E20:E21)</f>
        <v>7814500</v>
      </c>
      <c r="F19" s="64">
        <f>D19/C19</f>
        <v>7.8478773584905667E-2</v>
      </c>
    </row>
    <row r="20" spans="1:6" ht="15.6" x14ac:dyDescent="0.3">
      <c r="A20" s="6"/>
      <c r="B20" s="9" t="s">
        <v>245</v>
      </c>
      <c r="C20" s="10">
        <v>480000</v>
      </c>
      <c r="D20" s="10">
        <f>39000+357500+204000</f>
        <v>600500</v>
      </c>
      <c r="E20" s="38">
        <f>C20-D20</f>
        <v>-120500</v>
      </c>
      <c r="F20" s="65">
        <f>D20/C20</f>
        <v>1.2510416666666666</v>
      </c>
    </row>
    <row r="21" spans="1:6" ht="30" x14ac:dyDescent="0.3">
      <c r="A21" s="6"/>
      <c r="B21" s="6" t="s">
        <v>188</v>
      </c>
      <c r="C21" s="10">
        <v>8000000</v>
      </c>
      <c r="D21" s="10">
        <v>65000</v>
      </c>
      <c r="E21" s="38">
        <f t="shared" ref="E21" si="3">C21-D21</f>
        <v>7935000</v>
      </c>
      <c r="F21" s="65">
        <f t="shared" ref="F21" si="4">D21/C21</f>
        <v>8.1250000000000003E-3</v>
      </c>
    </row>
    <row r="22" spans="1:6" ht="15.6" x14ac:dyDescent="0.3">
      <c r="A22" s="18" t="s">
        <v>7</v>
      </c>
      <c r="B22" s="18" t="s">
        <v>8</v>
      </c>
      <c r="C22" s="20">
        <f>SUM(C23:C24)</f>
        <v>48039600</v>
      </c>
      <c r="D22" s="20">
        <f>SUM(D23:D24)</f>
        <v>45427800</v>
      </c>
      <c r="E22" s="44">
        <f>SUM(E23:E24)</f>
        <v>2611800</v>
      </c>
      <c r="F22" s="64">
        <f>D22/C22</f>
        <v>0.94563235330852047</v>
      </c>
    </row>
    <row r="23" spans="1:6" ht="15.6" x14ac:dyDescent="0.3">
      <c r="A23" s="6"/>
      <c r="B23" s="9" t="s">
        <v>246</v>
      </c>
      <c r="C23" s="10">
        <v>45279600</v>
      </c>
      <c r="D23" s="10">
        <f>3773000+3457000+4153000+3933000+3243000+3265000+3741000+3757000+3919000+3933000+3933000+3947000+165000</f>
        <v>45219000</v>
      </c>
      <c r="E23" s="38">
        <f>C23-D23</f>
        <v>60600</v>
      </c>
      <c r="F23" s="65">
        <f>D23/C23</f>
        <v>0.99866164895449605</v>
      </c>
    </row>
    <row r="24" spans="1:6" ht="15.6" x14ac:dyDescent="0.3">
      <c r="A24" s="6"/>
      <c r="B24" s="9" t="s">
        <v>247</v>
      </c>
      <c r="C24" s="10">
        <v>2760000</v>
      </c>
      <c r="D24" s="13">
        <v>208800</v>
      </c>
      <c r="E24" s="38">
        <f t="shared" ref="E24" si="5">C24-D24</f>
        <v>2551200</v>
      </c>
      <c r="F24" s="65">
        <f t="shared" ref="F24" si="6">D24/C24</f>
        <v>7.5652173913043477E-2</v>
      </c>
    </row>
    <row r="25" spans="1:6" ht="15.6" x14ac:dyDescent="0.3">
      <c r="A25" s="18" t="s">
        <v>9</v>
      </c>
      <c r="B25" s="18" t="s">
        <v>202</v>
      </c>
      <c r="C25" s="20">
        <f>SUM(C26:C29)</f>
        <v>84840000</v>
      </c>
      <c r="D25" s="20">
        <f>SUM(D26:D29)</f>
        <v>81439050</v>
      </c>
      <c r="E25" s="45">
        <f>SUM(E26:E29)</f>
        <v>3400950</v>
      </c>
      <c r="F25" s="64">
        <f>D25/C25</f>
        <v>0.95991336633663371</v>
      </c>
    </row>
    <row r="26" spans="1:6" ht="15.6" x14ac:dyDescent="0.3">
      <c r="A26" s="6"/>
      <c r="B26" s="8" t="s">
        <v>73</v>
      </c>
      <c r="C26" s="28">
        <v>13400000</v>
      </c>
      <c r="D26" s="10">
        <f>1387000+631950+709000+987500+987500+2184500+3244000+900000+125000+684250+145000+445000</f>
        <v>12430700</v>
      </c>
      <c r="E26" s="39">
        <f>C26-D26</f>
        <v>969300</v>
      </c>
      <c r="F26" s="65">
        <f>D26/C26</f>
        <v>0.92766417910447763</v>
      </c>
    </row>
    <row r="27" spans="1:6" ht="15.6" x14ac:dyDescent="0.3">
      <c r="A27" s="6"/>
      <c r="B27" s="8" t="s">
        <v>74</v>
      </c>
      <c r="C27" s="28">
        <v>7840000</v>
      </c>
      <c r="D27" s="10">
        <f>1237000+1225800+888500+1119000+643000+366000+230000+350000</f>
        <v>6059300</v>
      </c>
      <c r="E27" s="39">
        <f t="shared" ref="E27:E29" si="7">C27-D27</f>
        <v>1780700</v>
      </c>
      <c r="F27" s="65">
        <f t="shared" ref="F27:F29" si="8">D27/C27</f>
        <v>0.7728698979591837</v>
      </c>
    </row>
    <row r="28" spans="1:6" ht="15.6" x14ac:dyDescent="0.3">
      <c r="A28" s="6"/>
      <c r="B28" s="8" t="s">
        <v>75</v>
      </c>
      <c r="C28" s="28">
        <v>5600000</v>
      </c>
      <c r="D28" s="10">
        <f>170000+325000+2650800+50000+744250+75000+963000+178000+105000+88000</f>
        <v>5349050</v>
      </c>
      <c r="E28" s="39">
        <f t="shared" si="7"/>
        <v>250950</v>
      </c>
      <c r="F28" s="65">
        <f t="shared" si="8"/>
        <v>0.95518749999999997</v>
      </c>
    </row>
    <row r="29" spans="1:6" ht="31.2" x14ac:dyDescent="0.3">
      <c r="A29" s="6"/>
      <c r="B29" s="8" t="s">
        <v>76</v>
      </c>
      <c r="C29" s="28">
        <v>58000000</v>
      </c>
      <c r="D29" s="10">
        <f>9600000+9600000+9600000+9600000+9600000+9600000</f>
        <v>57600000</v>
      </c>
      <c r="E29" s="39">
        <f t="shared" si="7"/>
        <v>400000</v>
      </c>
      <c r="F29" s="65">
        <f t="shared" si="8"/>
        <v>0.99310344827586206</v>
      </c>
    </row>
    <row r="30" spans="1:6" ht="15.6" x14ac:dyDescent="0.3">
      <c r="A30" s="18" t="s">
        <v>10</v>
      </c>
      <c r="B30" s="18" t="s">
        <v>102</v>
      </c>
      <c r="C30" s="20">
        <f>SUM(C31:C41)</f>
        <v>31300000</v>
      </c>
      <c r="D30" s="20">
        <f>SUM(D31:D41)</f>
        <v>9575000</v>
      </c>
      <c r="E30" s="44">
        <f>SUM(E31:E41)</f>
        <v>21725000</v>
      </c>
      <c r="F30" s="64">
        <f>D30/C30</f>
        <v>0.30591054313099042</v>
      </c>
    </row>
    <row r="31" spans="1:6" ht="15.6" x14ac:dyDescent="0.3">
      <c r="A31" s="6"/>
      <c r="B31" s="131" t="s">
        <v>77</v>
      </c>
      <c r="C31" s="132">
        <v>4500000</v>
      </c>
      <c r="D31" s="10">
        <f>375000+375000+375000+375000+375000</f>
        <v>1875000</v>
      </c>
      <c r="E31" s="38">
        <f t="shared" ref="E31:E41" si="9">C31-D31</f>
        <v>2625000</v>
      </c>
      <c r="F31" s="62">
        <f t="shared" ref="F31:F41" si="10">D31/C31</f>
        <v>0.41666666666666669</v>
      </c>
    </row>
    <row r="32" spans="1:6" ht="15.6" x14ac:dyDescent="0.3">
      <c r="A32" s="6"/>
      <c r="B32" s="131" t="s">
        <v>78</v>
      </c>
      <c r="C32" s="132">
        <v>2400000</v>
      </c>
      <c r="D32" s="10">
        <f>150000+400000</f>
        <v>550000</v>
      </c>
      <c r="E32" s="38">
        <f t="shared" si="9"/>
        <v>1850000</v>
      </c>
      <c r="F32" s="62">
        <f t="shared" si="10"/>
        <v>0.22916666666666666</v>
      </c>
    </row>
    <row r="33" spans="1:6" ht="31.2" x14ac:dyDescent="0.3">
      <c r="A33" s="6"/>
      <c r="B33" s="8" t="s">
        <v>79</v>
      </c>
      <c r="C33" s="14">
        <v>2100000</v>
      </c>
      <c r="D33" s="10">
        <f>630000+420000</f>
        <v>1050000</v>
      </c>
      <c r="E33" s="38">
        <f t="shared" si="9"/>
        <v>1050000</v>
      </c>
      <c r="F33" s="62">
        <f t="shared" si="10"/>
        <v>0.5</v>
      </c>
    </row>
    <row r="34" spans="1:6" ht="31.2" x14ac:dyDescent="0.3">
      <c r="A34" s="6"/>
      <c r="B34" s="8" t="s">
        <v>80</v>
      </c>
      <c r="C34" s="14">
        <v>2100000</v>
      </c>
      <c r="D34" s="10">
        <v>0</v>
      </c>
      <c r="E34" s="38">
        <f t="shared" si="9"/>
        <v>2100000</v>
      </c>
      <c r="F34" s="62">
        <f t="shared" si="10"/>
        <v>0</v>
      </c>
    </row>
    <row r="35" spans="1:6" ht="31.2" x14ac:dyDescent="0.3">
      <c r="A35" s="6"/>
      <c r="B35" s="8" t="s">
        <v>81</v>
      </c>
      <c r="C35" s="14">
        <v>4000000</v>
      </c>
      <c r="D35" s="10">
        <v>0</v>
      </c>
      <c r="E35" s="38">
        <f t="shared" si="9"/>
        <v>4000000</v>
      </c>
      <c r="F35" s="62">
        <f t="shared" si="10"/>
        <v>0</v>
      </c>
    </row>
    <row r="36" spans="1:6" ht="15.6" x14ac:dyDescent="0.3">
      <c r="A36" s="6"/>
      <c r="B36" s="8" t="s">
        <v>82</v>
      </c>
      <c r="C36" s="14">
        <v>3000000</v>
      </c>
      <c r="D36" s="10">
        <v>0</v>
      </c>
      <c r="E36" s="38">
        <f t="shared" si="9"/>
        <v>3000000</v>
      </c>
      <c r="F36" s="62">
        <f t="shared" si="10"/>
        <v>0</v>
      </c>
    </row>
    <row r="37" spans="1:6" ht="31.2" x14ac:dyDescent="0.3">
      <c r="A37" s="6"/>
      <c r="B37" s="8" t="s">
        <v>241</v>
      </c>
      <c r="C37" s="14">
        <v>5000000</v>
      </c>
      <c r="D37" s="10">
        <v>5000000</v>
      </c>
      <c r="E37" s="38">
        <f t="shared" si="9"/>
        <v>0</v>
      </c>
      <c r="F37" s="62">
        <f t="shared" si="10"/>
        <v>1</v>
      </c>
    </row>
    <row r="38" spans="1:6" ht="15.6" x14ac:dyDescent="0.3">
      <c r="A38" s="6"/>
      <c r="B38" s="8" t="s">
        <v>204</v>
      </c>
      <c r="C38" s="14">
        <v>2200000</v>
      </c>
      <c r="D38" s="10">
        <v>1100000</v>
      </c>
      <c r="E38" s="38">
        <f t="shared" si="9"/>
        <v>1100000</v>
      </c>
      <c r="F38" s="62">
        <f t="shared" si="10"/>
        <v>0.5</v>
      </c>
    </row>
    <row r="39" spans="1:6" ht="30.6" x14ac:dyDescent="0.3">
      <c r="A39" s="6"/>
      <c r="B39" s="7" t="s">
        <v>94</v>
      </c>
      <c r="C39" s="14">
        <v>2100000</v>
      </c>
      <c r="D39" s="10">
        <v>0</v>
      </c>
      <c r="E39" s="38">
        <f t="shared" si="9"/>
        <v>2100000</v>
      </c>
      <c r="F39" s="62">
        <f t="shared" si="10"/>
        <v>0</v>
      </c>
    </row>
    <row r="40" spans="1:6" ht="45.6" x14ac:dyDescent="0.3">
      <c r="A40" s="6"/>
      <c r="B40" s="7" t="s">
        <v>99</v>
      </c>
      <c r="C40" s="14">
        <v>2100000</v>
      </c>
      <c r="D40" s="10">
        <v>0</v>
      </c>
      <c r="E40" s="38">
        <f t="shared" si="9"/>
        <v>2100000</v>
      </c>
      <c r="F40" s="62">
        <f t="shared" si="10"/>
        <v>0</v>
      </c>
    </row>
    <row r="41" spans="1:6" ht="15.6" x14ac:dyDescent="0.3">
      <c r="A41" s="6"/>
      <c r="B41" s="7" t="s">
        <v>186</v>
      </c>
      <c r="C41" s="14">
        <v>1800000</v>
      </c>
      <c r="D41" s="10">
        <v>0</v>
      </c>
      <c r="E41" s="38">
        <f t="shared" si="9"/>
        <v>1800000</v>
      </c>
      <c r="F41" s="62">
        <f t="shared" si="10"/>
        <v>0</v>
      </c>
    </row>
    <row r="42" spans="1:6" ht="15.6" x14ac:dyDescent="0.3">
      <c r="A42" s="21" t="s">
        <v>41</v>
      </c>
      <c r="B42" s="123" t="s">
        <v>42</v>
      </c>
      <c r="C42" s="27">
        <f>SUM(C43,C49,C54)</f>
        <v>254251600</v>
      </c>
      <c r="D42" s="27">
        <f>SUM(D43,D49,D54)</f>
        <v>132790619</v>
      </c>
      <c r="E42" s="52">
        <f>SUM(E43,E49,E54)</f>
        <v>121460981</v>
      </c>
      <c r="F42" s="66">
        <f>D42/C42</f>
        <v>0.5222803671638645</v>
      </c>
    </row>
    <row r="43" spans="1:6" ht="15.6" x14ac:dyDescent="0.3">
      <c r="A43" s="19" t="s">
        <v>43</v>
      </c>
      <c r="B43" s="78" t="s">
        <v>83</v>
      </c>
      <c r="C43" s="20">
        <f>SUM(C44:C48)</f>
        <v>47897600</v>
      </c>
      <c r="D43" s="20">
        <f>SUM(D44:D48)</f>
        <v>29664240</v>
      </c>
      <c r="E43" s="46">
        <f>SUM(E44:E48)</f>
        <v>18233360</v>
      </c>
      <c r="F43" s="67">
        <f>D43/C43</f>
        <v>0.61932622928915015</v>
      </c>
    </row>
    <row r="44" spans="1:6" ht="93.6" x14ac:dyDescent="0.3">
      <c r="A44" s="9" t="s">
        <v>11</v>
      </c>
      <c r="B44" s="9" t="s">
        <v>84</v>
      </c>
      <c r="C44" s="10">
        <v>20000000</v>
      </c>
      <c r="D44" s="11">
        <f>1200000+645000+1865640+730000+710000+1921800+5514400+1837800</f>
        <v>14424640</v>
      </c>
      <c r="E44" s="40">
        <f>C44-D44</f>
        <v>5575360</v>
      </c>
      <c r="F44" s="68">
        <f>D44/C44</f>
        <v>0.72123199999999998</v>
      </c>
    </row>
    <row r="45" spans="1:6" ht="60" x14ac:dyDescent="0.3">
      <c r="A45" s="6" t="s">
        <v>12</v>
      </c>
      <c r="B45" s="6" t="s">
        <v>85</v>
      </c>
      <c r="C45" s="10">
        <v>18807600</v>
      </c>
      <c r="D45" s="10">
        <v>14739600</v>
      </c>
      <c r="E45" s="40">
        <f t="shared" ref="E45:E48" si="11">C45-D45</f>
        <v>4068000</v>
      </c>
      <c r="F45" s="68">
        <f t="shared" ref="F45:F48" si="12">D45/C45</f>
        <v>0.78370445989918969</v>
      </c>
    </row>
    <row r="46" spans="1:6" ht="30.6" x14ac:dyDescent="0.3">
      <c r="A46" s="6"/>
      <c r="B46" s="7" t="s">
        <v>87</v>
      </c>
      <c r="C46" s="12">
        <v>5490000</v>
      </c>
      <c r="D46" s="41">
        <v>500000</v>
      </c>
      <c r="E46" s="40">
        <f t="shared" si="11"/>
        <v>4990000</v>
      </c>
      <c r="F46" s="68">
        <f t="shared" si="12"/>
        <v>9.107468123861566E-2</v>
      </c>
    </row>
    <row r="47" spans="1:6" ht="45" x14ac:dyDescent="0.3">
      <c r="A47" s="6"/>
      <c r="B47" s="6" t="s">
        <v>152</v>
      </c>
      <c r="C47" s="10">
        <v>1600000</v>
      </c>
      <c r="D47" s="10">
        <v>0</v>
      </c>
      <c r="E47" s="40">
        <f t="shared" si="11"/>
        <v>1600000</v>
      </c>
      <c r="F47" s="68">
        <f t="shared" si="12"/>
        <v>0</v>
      </c>
    </row>
    <row r="48" spans="1:6" ht="30.6" x14ac:dyDescent="0.3">
      <c r="A48" s="6"/>
      <c r="B48" s="124" t="s">
        <v>197</v>
      </c>
      <c r="C48" s="13">
        <v>2000000</v>
      </c>
      <c r="D48" s="10">
        <v>0</v>
      </c>
      <c r="E48" s="40">
        <f t="shared" si="11"/>
        <v>2000000</v>
      </c>
      <c r="F48" s="68">
        <f t="shared" si="12"/>
        <v>0</v>
      </c>
    </row>
    <row r="49" spans="1:6" ht="15.6" x14ac:dyDescent="0.3">
      <c r="A49" s="19" t="s">
        <v>44</v>
      </c>
      <c r="B49" s="78" t="s">
        <v>89</v>
      </c>
      <c r="C49" s="20">
        <f>SUM(C50:C53)</f>
        <v>34040000</v>
      </c>
      <c r="D49" s="20">
        <f>SUM(D50:D53)</f>
        <v>12565050</v>
      </c>
      <c r="E49" s="46">
        <f>SUM(E50:E53)</f>
        <v>21474950</v>
      </c>
      <c r="F49" s="67">
        <f>D49/C49</f>
        <v>0.36912602820211515</v>
      </c>
    </row>
    <row r="50" spans="1:6" ht="30" x14ac:dyDescent="0.3">
      <c r="A50" s="6"/>
      <c r="B50" s="6" t="s">
        <v>113</v>
      </c>
      <c r="C50" s="10">
        <v>16540000</v>
      </c>
      <c r="D50" s="10">
        <f>3937000+2647500</f>
        <v>6584500</v>
      </c>
      <c r="E50" s="38">
        <f t="shared" ref="E50:E53" si="13">C50-D50</f>
        <v>9955500</v>
      </c>
      <c r="F50" s="65">
        <f t="shared" ref="F50:F53" si="14">D50/C50</f>
        <v>0.39809552599758163</v>
      </c>
    </row>
    <row r="51" spans="1:6" ht="30" x14ac:dyDescent="0.3">
      <c r="A51" s="6"/>
      <c r="B51" s="6" t="s">
        <v>114</v>
      </c>
      <c r="C51" s="10">
        <v>7000000</v>
      </c>
      <c r="D51" s="10">
        <v>0</v>
      </c>
      <c r="E51" s="38">
        <f t="shared" si="13"/>
        <v>7000000</v>
      </c>
      <c r="F51" s="65">
        <f t="shared" si="14"/>
        <v>0</v>
      </c>
    </row>
    <row r="52" spans="1:6" ht="30" x14ac:dyDescent="0.3">
      <c r="A52" s="6" t="s">
        <v>13</v>
      </c>
      <c r="B52" s="6" t="s">
        <v>115</v>
      </c>
      <c r="C52" s="10">
        <v>5500000</v>
      </c>
      <c r="D52" s="10">
        <v>0</v>
      </c>
      <c r="E52" s="38">
        <f t="shared" si="13"/>
        <v>5500000</v>
      </c>
      <c r="F52" s="65">
        <f t="shared" si="14"/>
        <v>0</v>
      </c>
    </row>
    <row r="53" spans="1:6" ht="30" x14ac:dyDescent="0.3">
      <c r="A53" s="6"/>
      <c r="B53" s="6" t="s">
        <v>151</v>
      </c>
      <c r="C53" s="10">
        <v>5000000</v>
      </c>
      <c r="D53" s="10">
        <v>5980550</v>
      </c>
      <c r="E53" s="38">
        <f t="shared" si="13"/>
        <v>-980550</v>
      </c>
      <c r="F53" s="65">
        <f t="shared" si="14"/>
        <v>1.19611</v>
      </c>
    </row>
    <row r="54" spans="1:6" ht="15.6" x14ac:dyDescent="0.3">
      <c r="A54" s="19" t="s">
        <v>45</v>
      </c>
      <c r="B54" s="78" t="s">
        <v>106</v>
      </c>
      <c r="C54" s="20">
        <f>SUM(C55,C69)</f>
        <v>172314000</v>
      </c>
      <c r="D54" s="20">
        <f>SUM(D55,D69)</f>
        <v>90561329</v>
      </c>
      <c r="E54" s="45">
        <f>SUM(E55,E69)</f>
        <v>81752671</v>
      </c>
      <c r="F54" s="67">
        <f>D54/C54</f>
        <v>0.52555990227143468</v>
      </c>
    </row>
    <row r="55" spans="1:6" ht="15.6" x14ac:dyDescent="0.3">
      <c r="A55" s="32"/>
      <c r="B55" s="120" t="s">
        <v>200</v>
      </c>
      <c r="C55" s="25">
        <f>SUM(C56:C68)</f>
        <v>108614000</v>
      </c>
      <c r="D55" s="33">
        <f>SUM(D56:D68)</f>
        <v>88152329</v>
      </c>
      <c r="E55" s="47">
        <f>SUM(E56:E68)</f>
        <v>20461671</v>
      </c>
      <c r="F55" s="69">
        <f>D55/C55</f>
        <v>0.81161110906512968</v>
      </c>
    </row>
    <row r="56" spans="1:6" ht="30.6" x14ac:dyDescent="0.3">
      <c r="A56" s="6" t="s">
        <v>14</v>
      </c>
      <c r="B56" s="7" t="s">
        <v>103</v>
      </c>
      <c r="C56" s="14">
        <v>3000000</v>
      </c>
      <c r="D56" s="15">
        <f>1000000+1500000</f>
        <v>2500000</v>
      </c>
      <c r="E56" s="39">
        <f>C56-D56</f>
        <v>500000</v>
      </c>
      <c r="F56" s="65">
        <f>D56/C56</f>
        <v>0.83333333333333337</v>
      </c>
    </row>
    <row r="57" spans="1:6" ht="30.6" x14ac:dyDescent="0.3">
      <c r="A57" s="6"/>
      <c r="B57" s="7" t="s">
        <v>107</v>
      </c>
      <c r="C57" s="14">
        <v>1000000</v>
      </c>
      <c r="D57" s="10">
        <v>850000</v>
      </c>
      <c r="E57" s="39">
        <f t="shared" ref="E57:E68" si="15">C57-D57</f>
        <v>150000</v>
      </c>
      <c r="F57" s="65">
        <f t="shared" ref="F57:F68" si="16">D57/C57</f>
        <v>0.85</v>
      </c>
    </row>
    <row r="58" spans="1:6" ht="30.6" x14ac:dyDescent="0.3">
      <c r="A58" s="6"/>
      <c r="B58" s="7" t="s">
        <v>109</v>
      </c>
      <c r="C58" s="14">
        <v>8600000</v>
      </c>
      <c r="D58" s="10">
        <f>3607000+3607000</f>
        <v>7214000</v>
      </c>
      <c r="E58" s="39">
        <f t="shared" si="15"/>
        <v>1386000</v>
      </c>
      <c r="F58" s="65">
        <f t="shared" si="16"/>
        <v>0.83883720930232553</v>
      </c>
    </row>
    <row r="59" spans="1:6" ht="30.6" x14ac:dyDescent="0.3">
      <c r="A59" s="6"/>
      <c r="B59" s="7" t="s">
        <v>110</v>
      </c>
      <c r="C59" s="14">
        <v>14800000</v>
      </c>
      <c r="D59" s="10">
        <f>4790000+1909000+1805000+1550000+2392200+2250000</f>
        <v>14696200</v>
      </c>
      <c r="E59" s="39">
        <f t="shared" si="15"/>
        <v>103800</v>
      </c>
      <c r="F59" s="65">
        <f t="shared" si="16"/>
        <v>0.99298648648648646</v>
      </c>
    </row>
    <row r="60" spans="1:6" ht="30.6" x14ac:dyDescent="0.3">
      <c r="A60" s="6"/>
      <c r="B60" s="7" t="s">
        <v>128</v>
      </c>
      <c r="C60" s="14">
        <v>9600000</v>
      </c>
      <c r="D60" s="10">
        <v>8140000</v>
      </c>
      <c r="E60" s="39">
        <f t="shared" si="15"/>
        <v>1460000</v>
      </c>
      <c r="F60" s="65">
        <f t="shared" si="16"/>
        <v>0.84791666666666665</v>
      </c>
    </row>
    <row r="61" spans="1:6" ht="30.6" x14ac:dyDescent="0.3">
      <c r="A61" s="6"/>
      <c r="B61" s="7" t="s">
        <v>130</v>
      </c>
      <c r="C61" s="14">
        <v>5600000</v>
      </c>
      <c r="D61" s="10">
        <v>4040695</v>
      </c>
      <c r="E61" s="39">
        <f t="shared" si="15"/>
        <v>1559305</v>
      </c>
      <c r="F61" s="65">
        <f t="shared" si="16"/>
        <v>0.72155267857142857</v>
      </c>
    </row>
    <row r="62" spans="1:6" ht="45.6" x14ac:dyDescent="0.3">
      <c r="A62" s="6"/>
      <c r="B62" s="7" t="s">
        <v>131</v>
      </c>
      <c r="C62" s="14">
        <v>9600000</v>
      </c>
      <c r="D62" s="10">
        <f>500000+500000+1100000+500000+33000</f>
        <v>2633000</v>
      </c>
      <c r="E62" s="39">
        <f t="shared" si="15"/>
        <v>6967000</v>
      </c>
      <c r="F62" s="65">
        <f t="shared" si="16"/>
        <v>0.27427083333333335</v>
      </c>
    </row>
    <row r="63" spans="1:6" ht="15.6" x14ac:dyDescent="0.3">
      <c r="A63" s="6"/>
      <c r="B63" s="7" t="s">
        <v>132</v>
      </c>
      <c r="C63" s="14">
        <v>9600000</v>
      </c>
      <c r="D63" s="10">
        <v>9240000</v>
      </c>
      <c r="E63" s="39">
        <f t="shared" si="15"/>
        <v>360000</v>
      </c>
      <c r="F63" s="65">
        <f t="shared" si="16"/>
        <v>0.96250000000000002</v>
      </c>
    </row>
    <row r="64" spans="1:6" ht="30.6" x14ac:dyDescent="0.3">
      <c r="A64" s="6"/>
      <c r="B64" s="7" t="s">
        <v>133</v>
      </c>
      <c r="C64" s="14">
        <v>2600000</v>
      </c>
      <c r="D64" s="10">
        <v>1805000</v>
      </c>
      <c r="E64" s="39">
        <f t="shared" si="15"/>
        <v>795000</v>
      </c>
      <c r="F64" s="65">
        <f t="shared" si="16"/>
        <v>0.69423076923076921</v>
      </c>
    </row>
    <row r="65" spans="1:6" ht="15.6" x14ac:dyDescent="0.3">
      <c r="A65" s="35"/>
      <c r="B65" s="7" t="s">
        <v>146</v>
      </c>
      <c r="C65" s="28">
        <v>11600000</v>
      </c>
      <c r="D65" s="10">
        <v>7549964</v>
      </c>
      <c r="E65" s="39">
        <f t="shared" si="15"/>
        <v>4050036</v>
      </c>
      <c r="F65" s="65">
        <f t="shared" si="16"/>
        <v>0.65085896551724143</v>
      </c>
    </row>
    <row r="66" spans="1:6" ht="30.6" x14ac:dyDescent="0.3">
      <c r="A66" s="35"/>
      <c r="B66" s="7" t="s">
        <v>147</v>
      </c>
      <c r="C66" s="28">
        <v>7214000</v>
      </c>
      <c r="D66" s="10">
        <v>6149962</v>
      </c>
      <c r="E66" s="39">
        <f t="shared" si="15"/>
        <v>1064038</v>
      </c>
      <c r="F66" s="65">
        <f t="shared" si="16"/>
        <v>0.85250374272248408</v>
      </c>
    </row>
    <row r="67" spans="1:6" ht="15.6" x14ac:dyDescent="0.3">
      <c r="A67" s="35"/>
      <c r="B67" s="7" t="s">
        <v>148</v>
      </c>
      <c r="C67" s="28">
        <v>10000000</v>
      </c>
      <c r="D67" s="10">
        <f>2600000+6999500</f>
        <v>9599500</v>
      </c>
      <c r="E67" s="39">
        <f t="shared" si="15"/>
        <v>400500</v>
      </c>
      <c r="F67" s="65">
        <f t="shared" si="16"/>
        <v>0.95994999999999997</v>
      </c>
    </row>
    <row r="68" spans="1:6" ht="30.6" x14ac:dyDescent="0.3">
      <c r="A68" s="35"/>
      <c r="B68" s="7" t="s">
        <v>149</v>
      </c>
      <c r="C68" s="28">
        <v>15400000</v>
      </c>
      <c r="D68" s="10">
        <f>6138000+7596008</f>
        <v>13734008</v>
      </c>
      <c r="E68" s="39">
        <f t="shared" si="15"/>
        <v>1665992</v>
      </c>
      <c r="F68" s="65">
        <f t="shared" si="16"/>
        <v>0.89181870129870133</v>
      </c>
    </row>
    <row r="69" spans="1:6" ht="15.6" x14ac:dyDescent="0.3">
      <c r="A69" s="34"/>
      <c r="B69" s="120" t="s">
        <v>201</v>
      </c>
      <c r="C69" s="25">
        <f>SUM(C70:C75)</f>
        <v>63700000</v>
      </c>
      <c r="D69" s="25">
        <f>SUM(D70:D75)</f>
        <v>2409000</v>
      </c>
      <c r="E69" s="48">
        <f>SUM(E70:E75)</f>
        <v>61291000</v>
      </c>
      <c r="F69" s="70">
        <f>D69/C69</f>
        <v>3.7817896389324958E-2</v>
      </c>
    </row>
    <row r="70" spans="1:6" ht="60.6" x14ac:dyDescent="0.3">
      <c r="A70" s="6"/>
      <c r="B70" s="7" t="s">
        <v>108</v>
      </c>
      <c r="C70" s="14">
        <v>4500000</v>
      </c>
      <c r="D70" s="10">
        <v>309000</v>
      </c>
      <c r="E70" s="39">
        <f t="shared" ref="E70:E75" si="17">C70-D70</f>
        <v>4191000</v>
      </c>
      <c r="F70" s="65">
        <f t="shared" ref="F70:F75" si="18">D70/C70</f>
        <v>6.8666666666666668E-2</v>
      </c>
    </row>
    <row r="71" spans="1:6" ht="15.6" x14ac:dyDescent="0.3">
      <c r="A71" s="6"/>
      <c r="B71" s="6" t="s">
        <v>111</v>
      </c>
      <c r="C71" s="10">
        <v>16700000</v>
      </c>
      <c r="D71" s="36">
        <f>1050000+1050000</f>
        <v>2100000</v>
      </c>
      <c r="E71" s="39">
        <f t="shared" si="17"/>
        <v>14600000</v>
      </c>
      <c r="F71" s="65">
        <f t="shared" si="18"/>
        <v>0.12574850299401197</v>
      </c>
    </row>
    <row r="72" spans="1:6" ht="45" x14ac:dyDescent="0.3">
      <c r="A72" s="6"/>
      <c r="B72" s="6" t="s">
        <v>112</v>
      </c>
      <c r="C72" s="10">
        <v>8500000</v>
      </c>
      <c r="D72" s="10">
        <v>0</v>
      </c>
      <c r="E72" s="39">
        <f t="shared" si="17"/>
        <v>8500000</v>
      </c>
      <c r="F72" s="65">
        <f t="shared" si="18"/>
        <v>0</v>
      </c>
    </row>
    <row r="73" spans="1:6" ht="30" x14ac:dyDescent="0.3">
      <c r="A73" s="6"/>
      <c r="B73" s="6" t="s">
        <v>127</v>
      </c>
      <c r="C73" s="10">
        <v>21000000</v>
      </c>
      <c r="D73" s="10">
        <v>0</v>
      </c>
      <c r="E73" s="39">
        <f t="shared" si="17"/>
        <v>21000000</v>
      </c>
      <c r="F73" s="65">
        <f t="shared" si="18"/>
        <v>0</v>
      </c>
    </row>
    <row r="74" spans="1:6" ht="30.6" x14ac:dyDescent="0.3">
      <c r="A74" s="6"/>
      <c r="B74" s="7" t="s">
        <v>153</v>
      </c>
      <c r="C74" s="14">
        <v>6000000</v>
      </c>
      <c r="D74" s="10">
        <v>0</v>
      </c>
      <c r="E74" s="39">
        <f t="shared" si="17"/>
        <v>6000000</v>
      </c>
      <c r="F74" s="65">
        <f t="shared" si="18"/>
        <v>0</v>
      </c>
    </row>
    <row r="75" spans="1:6" ht="45" x14ac:dyDescent="0.3">
      <c r="A75" s="6"/>
      <c r="B75" s="6" t="s">
        <v>129</v>
      </c>
      <c r="C75" s="10">
        <v>7000000</v>
      </c>
      <c r="D75" s="10">
        <v>0</v>
      </c>
      <c r="E75" s="39">
        <f t="shared" si="17"/>
        <v>7000000</v>
      </c>
      <c r="F75" s="65">
        <f t="shared" si="18"/>
        <v>0</v>
      </c>
    </row>
    <row r="76" spans="1:6" ht="15.6" x14ac:dyDescent="0.3">
      <c r="A76" s="21" t="s">
        <v>88</v>
      </c>
      <c r="B76" s="123" t="s">
        <v>134</v>
      </c>
      <c r="C76" s="27">
        <f>SUM(C77:C96)</f>
        <v>295461000</v>
      </c>
      <c r="D76" s="27">
        <f>SUM(D77:D96)</f>
        <v>91203350</v>
      </c>
      <c r="E76" s="52">
        <f>SUM(E77:E96)</f>
        <v>204257650</v>
      </c>
      <c r="F76" s="66">
        <f>D76/C76</f>
        <v>0.30868151803452909</v>
      </c>
    </row>
    <row r="77" spans="1:6" ht="30" x14ac:dyDescent="0.3">
      <c r="A77" s="6" t="s">
        <v>15</v>
      </c>
      <c r="B77" s="6" t="s">
        <v>116</v>
      </c>
      <c r="C77" s="10">
        <v>25000000</v>
      </c>
      <c r="D77" s="10">
        <f>4888000+1100000+9120950</f>
        <v>15108950</v>
      </c>
      <c r="E77" s="38">
        <f>C77-D77</f>
        <v>9891050</v>
      </c>
      <c r="F77" s="65">
        <f>D77/C77</f>
        <v>0.60435799999999995</v>
      </c>
    </row>
    <row r="78" spans="1:6" ht="30" x14ac:dyDescent="0.3">
      <c r="A78" s="6" t="s">
        <v>16</v>
      </c>
      <c r="B78" s="6" t="s">
        <v>117</v>
      </c>
      <c r="C78" s="10">
        <v>17000000</v>
      </c>
      <c r="D78" s="10">
        <f>5533750+1205000+852000+6800000</f>
        <v>14390750</v>
      </c>
      <c r="E78" s="38">
        <f t="shared" ref="E78:E96" si="19">C78-D78</f>
        <v>2609250</v>
      </c>
      <c r="F78" s="65">
        <f t="shared" ref="F78:F96" si="20">D78/C78</f>
        <v>0.84651470588235289</v>
      </c>
    </row>
    <row r="79" spans="1:6" ht="30" x14ac:dyDescent="0.3">
      <c r="A79" s="6"/>
      <c r="B79" s="6" t="s">
        <v>118</v>
      </c>
      <c r="C79" s="10">
        <v>18800000</v>
      </c>
      <c r="D79" s="10">
        <f>10000000+4990600+1824000</f>
        <v>16814600</v>
      </c>
      <c r="E79" s="38">
        <f t="shared" si="19"/>
        <v>1985400</v>
      </c>
      <c r="F79" s="65">
        <f t="shared" si="20"/>
        <v>0.89439361702127662</v>
      </c>
    </row>
    <row r="80" spans="1:6" ht="15.6" x14ac:dyDescent="0.3">
      <c r="A80" s="6"/>
      <c r="B80" s="7" t="s">
        <v>119</v>
      </c>
      <c r="C80" s="14">
        <v>2400000</v>
      </c>
      <c r="D80" s="10">
        <v>0</v>
      </c>
      <c r="E80" s="38">
        <f t="shared" si="19"/>
        <v>2400000</v>
      </c>
      <c r="F80" s="65">
        <f t="shared" si="20"/>
        <v>0</v>
      </c>
    </row>
    <row r="81" spans="1:6" ht="30" x14ac:dyDescent="0.3">
      <c r="A81" s="6"/>
      <c r="B81" s="6" t="s">
        <v>123</v>
      </c>
      <c r="C81" s="10">
        <v>4375000</v>
      </c>
      <c r="D81" s="10">
        <v>0</v>
      </c>
      <c r="E81" s="38">
        <f t="shared" si="19"/>
        <v>4375000</v>
      </c>
      <c r="F81" s="65">
        <f t="shared" si="20"/>
        <v>0</v>
      </c>
    </row>
    <row r="82" spans="1:6" ht="45.6" x14ac:dyDescent="0.3">
      <c r="A82" s="6"/>
      <c r="B82" s="7" t="s">
        <v>124</v>
      </c>
      <c r="C82" s="14">
        <v>10000000</v>
      </c>
      <c r="D82" s="10">
        <v>0</v>
      </c>
      <c r="E82" s="38">
        <f t="shared" si="19"/>
        <v>10000000</v>
      </c>
      <c r="F82" s="65">
        <f t="shared" si="20"/>
        <v>0</v>
      </c>
    </row>
    <row r="83" spans="1:6" ht="30.6" x14ac:dyDescent="0.3">
      <c r="A83" s="6"/>
      <c r="B83" s="7" t="s">
        <v>125</v>
      </c>
      <c r="C83" s="14">
        <v>9000000</v>
      </c>
      <c r="D83" s="10">
        <v>0</v>
      </c>
      <c r="E83" s="38">
        <f t="shared" si="19"/>
        <v>9000000</v>
      </c>
      <c r="F83" s="65">
        <f t="shared" si="20"/>
        <v>0</v>
      </c>
    </row>
    <row r="84" spans="1:6" ht="30.6" x14ac:dyDescent="0.3">
      <c r="A84" s="6"/>
      <c r="B84" s="7" t="s">
        <v>126</v>
      </c>
      <c r="C84" s="14">
        <v>7500000</v>
      </c>
      <c r="D84" s="10">
        <v>0</v>
      </c>
      <c r="E84" s="38">
        <f t="shared" si="19"/>
        <v>7500000</v>
      </c>
      <c r="F84" s="65">
        <f t="shared" si="20"/>
        <v>0</v>
      </c>
    </row>
    <row r="85" spans="1:6" ht="15.6" x14ac:dyDescent="0.3">
      <c r="A85" s="6"/>
      <c r="B85" s="7" t="s">
        <v>135</v>
      </c>
      <c r="C85" s="14">
        <v>36000000</v>
      </c>
      <c r="D85" s="10">
        <v>0</v>
      </c>
      <c r="E85" s="38">
        <f t="shared" si="19"/>
        <v>36000000</v>
      </c>
      <c r="F85" s="65">
        <f t="shared" si="20"/>
        <v>0</v>
      </c>
    </row>
    <row r="86" spans="1:6" ht="15.6" x14ac:dyDescent="0.3">
      <c r="A86" s="6"/>
      <c r="B86" s="7" t="s">
        <v>136</v>
      </c>
      <c r="C86" s="14">
        <v>5400000</v>
      </c>
      <c r="D86" s="10">
        <v>0</v>
      </c>
      <c r="E86" s="38">
        <f t="shared" si="19"/>
        <v>5400000</v>
      </c>
      <c r="F86" s="65">
        <f t="shared" si="20"/>
        <v>0</v>
      </c>
    </row>
    <row r="87" spans="1:6" ht="15.6" x14ac:dyDescent="0.3">
      <c r="A87" s="6"/>
      <c r="B87" s="7" t="s">
        <v>137</v>
      </c>
      <c r="C87" s="14">
        <v>5400000</v>
      </c>
      <c r="D87" s="10">
        <v>0</v>
      </c>
      <c r="E87" s="38">
        <f t="shared" si="19"/>
        <v>5400000</v>
      </c>
      <c r="F87" s="65">
        <f t="shared" si="20"/>
        <v>0</v>
      </c>
    </row>
    <row r="88" spans="1:6" ht="15.6" x14ac:dyDescent="0.3">
      <c r="A88" s="6"/>
      <c r="B88" s="7" t="s">
        <v>138</v>
      </c>
      <c r="C88" s="14">
        <v>5400000</v>
      </c>
      <c r="D88" s="10">
        <v>147000</v>
      </c>
      <c r="E88" s="38">
        <f t="shared" si="19"/>
        <v>5253000</v>
      </c>
      <c r="F88" s="65">
        <f t="shared" si="20"/>
        <v>2.7222222222222221E-2</v>
      </c>
    </row>
    <row r="89" spans="1:6" ht="15.6" x14ac:dyDescent="0.3">
      <c r="A89" s="6"/>
      <c r="B89" s="7" t="s">
        <v>139</v>
      </c>
      <c r="C89" s="14">
        <v>50000000</v>
      </c>
      <c r="D89" s="10">
        <f>5550000+18500000</f>
        <v>24050000</v>
      </c>
      <c r="E89" s="38">
        <f t="shared" si="19"/>
        <v>25950000</v>
      </c>
      <c r="F89" s="65">
        <f t="shared" si="20"/>
        <v>0.48099999999999998</v>
      </c>
    </row>
    <row r="90" spans="1:6" ht="15.6" x14ac:dyDescent="0.3">
      <c r="A90" s="6"/>
      <c r="B90" s="7" t="s">
        <v>140</v>
      </c>
      <c r="C90" s="14">
        <v>58910000</v>
      </c>
      <c r="D90" s="10">
        <v>0</v>
      </c>
      <c r="E90" s="38">
        <f t="shared" si="19"/>
        <v>58910000</v>
      </c>
      <c r="F90" s="65">
        <f t="shared" si="20"/>
        <v>0</v>
      </c>
    </row>
    <row r="91" spans="1:6" ht="30.6" x14ac:dyDescent="0.3">
      <c r="A91" s="6"/>
      <c r="B91" s="7" t="s">
        <v>141</v>
      </c>
      <c r="C91" s="14">
        <v>8000000</v>
      </c>
      <c r="D91" s="10">
        <v>0</v>
      </c>
      <c r="E91" s="38">
        <f t="shared" si="19"/>
        <v>8000000</v>
      </c>
      <c r="F91" s="65">
        <f t="shared" si="20"/>
        <v>0</v>
      </c>
    </row>
    <row r="92" spans="1:6" ht="15.6" x14ac:dyDescent="0.3">
      <c r="A92" s="6"/>
      <c r="B92" s="7" t="s">
        <v>142</v>
      </c>
      <c r="C92" s="14">
        <v>3000000</v>
      </c>
      <c r="D92" s="10">
        <v>0</v>
      </c>
      <c r="E92" s="38">
        <f t="shared" si="19"/>
        <v>3000000</v>
      </c>
      <c r="F92" s="65">
        <f t="shared" si="20"/>
        <v>0</v>
      </c>
    </row>
    <row r="93" spans="1:6" ht="15.6" x14ac:dyDescent="0.3">
      <c r="A93" s="6"/>
      <c r="B93" s="7" t="s">
        <v>143</v>
      </c>
      <c r="C93" s="14">
        <v>3000000</v>
      </c>
      <c r="D93" s="10">
        <v>0</v>
      </c>
      <c r="E93" s="38">
        <f t="shared" si="19"/>
        <v>3000000</v>
      </c>
      <c r="F93" s="65">
        <f t="shared" si="20"/>
        <v>0</v>
      </c>
    </row>
    <row r="94" spans="1:6" ht="15.6" x14ac:dyDescent="0.3">
      <c r="A94" s="6"/>
      <c r="B94" s="7" t="s">
        <v>144</v>
      </c>
      <c r="C94" s="14">
        <v>2016000</v>
      </c>
      <c r="D94" s="10">
        <v>0</v>
      </c>
      <c r="E94" s="38">
        <f t="shared" si="19"/>
        <v>2016000</v>
      </c>
      <c r="F94" s="65">
        <f t="shared" si="20"/>
        <v>0</v>
      </c>
    </row>
    <row r="95" spans="1:6" ht="30.6" x14ac:dyDescent="0.3">
      <c r="A95" s="6"/>
      <c r="B95" s="7" t="s">
        <v>145</v>
      </c>
      <c r="C95" s="14">
        <v>20000000</v>
      </c>
      <c r="D95" s="10">
        <v>18227050</v>
      </c>
      <c r="E95" s="38">
        <f t="shared" si="19"/>
        <v>1772950</v>
      </c>
      <c r="F95" s="65">
        <f t="shared" si="20"/>
        <v>0.91135250000000001</v>
      </c>
    </row>
    <row r="96" spans="1:6" ht="30.6" x14ac:dyDescent="0.3">
      <c r="A96" s="6"/>
      <c r="B96" s="7" t="s">
        <v>150</v>
      </c>
      <c r="C96" s="14">
        <v>4260000</v>
      </c>
      <c r="D96" s="10">
        <f>465000+2000000</f>
        <v>2465000</v>
      </c>
      <c r="E96" s="38">
        <f t="shared" si="19"/>
        <v>1795000</v>
      </c>
      <c r="F96" s="65">
        <f t="shared" si="20"/>
        <v>0.57863849765258213</v>
      </c>
    </row>
    <row r="97" spans="1:6" ht="15.6" x14ac:dyDescent="0.3">
      <c r="A97" s="21" t="s">
        <v>46</v>
      </c>
      <c r="B97" s="123" t="s">
        <v>47</v>
      </c>
      <c r="C97" s="27">
        <f>SUM(C98:C101)</f>
        <v>33900000</v>
      </c>
      <c r="D97" s="27">
        <f>SUM(D98:D101)</f>
        <v>27375000</v>
      </c>
      <c r="E97" s="50">
        <f>SUM(E98:E101)</f>
        <v>6525000</v>
      </c>
      <c r="F97" s="66">
        <f>D97/C97</f>
        <v>0.80752212389380529</v>
      </c>
    </row>
    <row r="98" spans="1:6" ht="30.6" x14ac:dyDescent="0.3">
      <c r="A98" s="6" t="s">
        <v>17</v>
      </c>
      <c r="B98" s="7" t="s">
        <v>154</v>
      </c>
      <c r="C98" s="28">
        <v>2400000</v>
      </c>
      <c r="D98" s="10">
        <v>1200000</v>
      </c>
      <c r="E98" s="39">
        <f>C98-D98</f>
        <v>1200000</v>
      </c>
      <c r="F98" s="65">
        <f>D98/C98</f>
        <v>0.5</v>
      </c>
    </row>
    <row r="99" spans="1:6" ht="15.6" x14ac:dyDescent="0.3">
      <c r="A99" s="6" t="s">
        <v>18</v>
      </c>
      <c r="B99" s="7" t="s">
        <v>155</v>
      </c>
      <c r="C99" s="28">
        <v>1500000</v>
      </c>
      <c r="D99" s="10">
        <v>0</v>
      </c>
      <c r="E99" s="39">
        <f t="shared" ref="E99:E101" si="21">C99-D99</f>
        <v>1500000</v>
      </c>
      <c r="F99" s="65">
        <f t="shared" ref="F99:F101" si="22">D99/C99</f>
        <v>0</v>
      </c>
    </row>
    <row r="100" spans="1:6" ht="15.6" x14ac:dyDescent="0.3">
      <c r="A100" s="6"/>
      <c r="B100" s="7"/>
      <c r="C100" s="28"/>
      <c r="D100" s="10"/>
      <c r="E100" s="39"/>
      <c r="F100" s="65"/>
    </row>
    <row r="101" spans="1:6" ht="15.6" x14ac:dyDescent="0.3">
      <c r="A101" s="6" t="s">
        <v>19</v>
      </c>
      <c r="B101" s="7" t="s">
        <v>156</v>
      </c>
      <c r="C101" s="14">
        <v>30000000</v>
      </c>
      <c r="D101" s="10">
        <f>13675000+10500000+2000000</f>
        <v>26175000</v>
      </c>
      <c r="E101" s="39">
        <f t="shared" si="21"/>
        <v>3825000</v>
      </c>
      <c r="F101" s="65">
        <f t="shared" si="22"/>
        <v>0.87250000000000005</v>
      </c>
    </row>
    <row r="102" spans="1:6" ht="15.6" x14ac:dyDescent="0.3">
      <c r="A102" s="23" t="s">
        <v>48</v>
      </c>
      <c r="B102" s="121" t="s">
        <v>49</v>
      </c>
      <c r="C102" s="29">
        <f>SUM(C103,C107,C111)</f>
        <v>99475600</v>
      </c>
      <c r="D102" s="29">
        <f>SUM(D103,D107,D111)</f>
        <v>60750000</v>
      </c>
      <c r="E102" s="54">
        <f>SUM(E103,E107,E111)</f>
        <v>38725600</v>
      </c>
      <c r="F102" s="71">
        <f>D102/C102</f>
        <v>0.61070252403604497</v>
      </c>
    </row>
    <row r="103" spans="1:6" ht="15.6" x14ac:dyDescent="0.3">
      <c r="A103" s="21" t="s">
        <v>37</v>
      </c>
      <c r="B103" s="123" t="s">
        <v>50</v>
      </c>
      <c r="C103" s="27">
        <f>SUM(C104:C106)</f>
        <v>35185600</v>
      </c>
      <c r="D103" s="22">
        <f>SUM(D104:D106)</f>
        <v>13377500</v>
      </c>
      <c r="E103" s="49">
        <f>SUM(E104:E106)</f>
        <v>21808100</v>
      </c>
      <c r="F103" s="66">
        <f>D103/C103</f>
        <v>0.3801981492428721</v>
      </c>
    </row>
    <row r="104" spans="1:6" ht="15.6" x14ac:dyDescent="0.3">
      <c r="A104" s="6" t="s">
        <v>20</v>
      </c>
      <c r="B104" s="7" t="s">
        <v>160</v>
      </c>
      <c r="C104" s="28">
        <v>18000000</v>
      </c>
      <c r="D104" s="10">
        <f>522500+12000000+130000+725000</f>
        <v>13377500</v>
      </c>
      <c r="E104" s="39">
        <f t="shared" ref="E104:E106" si="23">C104-D104</f>
        <v>4622500</v>
      </c>
      <c r="F104" s="65">
        <f t="shared" ref="F104:F106" si="24">D104/C104</f>
        <v>0.74319444444444449</v>
      </c>
    </row>
    <row r="105" spans="1:6" ht="30.6" x14ac:dyDescent="0.3">
      <c r="A105" s="6"/>
      <c r="B105" s="7" t="s">
        <v>162</v>
      </c>
      <c r="C105" s="28">
        <v>9800000</v>
      </c>
      <c r="D105" s="10">
        <v>0</v>
      </c>
      <c r="E105" s="39">
        <f t="shared" si="23"/>
        <v>9800000</v>
      </c>
      <c r="F105" s="65">
        <f t="shared" si="24"/>
        <v>0</v>
      </c>
    </row>
    <row r="106" spans="1:6" ht="15.6" x14ac:dyDescent="0.3">
      <c r="A106" s="6"/>
      <c r="B106" s="7" t="s">
        <v>163</v>
      </c>
      <c r="C106" s="28">
        <v>7385600</v>
      </c>
      <c r="D106" s="10">
        <v>0</v>
      </c>
      <c r="E106" s="39">
        <f t="shared" si="23"/>
        <v>7385600</v>
      </c>
      <c r="F106" s="65">
        <f t="shared" si="24"/>
        <v>0</v>
      </c>
    </row>
    <row r="107" spans="1:6" ht="15.6" x14ac:dyDescent="0.3">
      <c r="A107" s="21" t="s">
        <v>39</v>
      </c>
      <c r="B107" s="123" t="s">
        <v>51</v>
      </c>
      <c r="C107" s="27">
        <f>SUM(C108:C110)</f>
        <v>7450000</v>
      </c>
      <c r="D107" s="22">
        <f>SUM(D108:D110)</f>
        <v>2205000</v>
      </c>
      <c r="E107" s="50">
        <f>SUM(E108:E110)</f>
        <v>5245000</v>
      </c>
      <c r="F107" s="66">
        <f>D107/C107</f>
        <v>0.29597315436241611</v>
      </c>
    </row>
    <row r="108" spans="1:6" ht="15.6" x14ac:dyDescent="0.3">
      <c r="A108" s="6" t="s">
        <v>21</v>
      </c>
      <c r="B108" s="7" t="s">
        <v>165</v>
      </c>
      <c r="C108" s="28">
        <v>3600000</v>
      </c>
      <c r="D108" s="10">
        <f>625000+275000</f>
        <v>900000</v>
      </c>
      <c r="E108" s="39">
        <f t="shared" ref="E108:E110" si="25">C108-D108</f>
        <v>2700000</v>
      </c>
      <c r="F108" s="65">
        <f t="shared" ref="F108:F110" si="26">D108/C108</f>
        <v>0.25</v>
      </c>
    </row>
    <row r="109" spans="1:6" ht="15.6" x14ac:dyDescent="0.3">
      <c r="A109" s="6"/>
      <c r="B109" s="7" t="s">
        <v>166</v>
      </c>
      <c r="C109" s="28">
        <v>2250000</v>
      </c>
      <c r="D109" s="10">
        <v>1305000</v>
      </c>
      <c r="E109" s="39">
        <f t="shared" si="25"/>
        <v>945000</v>
      </c>
      <c r="F109" s="65">
        <f t="shared" si="26"/>
        <v>0.57999999999999996</v>
      </c>
    </row>
    <row r="110" spans="1:6" ht="15.6" x14ac:dyDescent="0.3">
      <c r="A110" s="6"/>
      <c r="B110" s="7" t="s">
        <v>167</v>
      </c>
      <c r="C110" s="28">
        <v>1600000</v>
      </c>
      <c r="D110" s="10">
        <v>0</v>
      </c>
      <c r="E110" s="39">
        <f t="shared" si="25"/>
        <v>1600000</v>
      </c>
      <c r="F110" s="65">
        <f t="shared" si="26"/>
        <v>0</v>
      </c>
    </row>
    <row r="111" spans="1:6" ht="15.6" x14ac:dyDescent="0.3">
      <c r="A111" s="21" t="s">
        <v>41</v>
      </c>
      <c r="B111" s="123" t="s">
        <v>52</v>
      </c>
      <c r="C111" s="27">
        <f>SUM(C112:C118)</f>
        <v>56840000</v>
      </c>
      <c r="D111" s="22">
        <f>SUM(D112:D118)</f>
        <v>45167500</v>
      </c>
      <c r="E111" s="50">
        <f>SUM(E112:E118)</f>
        <v>11672500</v>
      </c>
      <c r="F111" s="66">
        <f>D111/C111</f>
        <v>0.7946428571428571</v>
      </c>
    </row>
    <row r="112" spans="1:6" ht="15.6" x14ac:dyDescent="0.3">
      <c r="A112" s="6" t="s">
        <v>22</v>
      </c>
      <c r="B112" s="7" t="s">
        <v>168</v>
      </c>
      <c r="C112" s="28">
        <v>14920000</v>
      </c>
      <c r="D112" s="10">
        <v>12650000</v>
      </c>
      <c r="E112" s="39">
        <f>C112-D112</f>
        <v>2270000</v>
      </c>
      <c r="F112" s="65">
        <f>D112/C112</f>
        <v>0.84785522788203749</v>
      </c>
    </row>
    <row r="113" spans="1:6" ht="15.6" x14ac:dyDescent="0.3">
      <c r="A113" s="6" t="s">
        <v>23</v>
      </c>
      <c r="B113" s="7" t="s">
        <v>169</v>
      </c>
      <c r="C113" s="28">
        <v>1280000</v>
      </c>
      <c r="D113" s="10">
        <v>400000</v>
      </c>
      <c r="E113" s="39">
        <f t="shared" ref="E113:E118" si="27">C113-D113</f>
        <v>880000</v>
      </c>
      <c r="F113" s="65">
        <f t="shared" ref="F113:F118" si="28">D113/C113</f>
        <v>0.3125</v>
      </c>
    </row>
    <row r="114" spans="1:6" ht="15.6" x14ac:dyDescent="0.3">
      <c r="A114" s="6" t="s">
        <v>24</v>
      </c>
      <c r="B114" s="7" t="s">
        <v>170</v>
      </c>
      <c r="C114" s="28">
        <v>6200000</v>
      </c>
      <c r="D114" s="10">
        <f>3285000+1980000</f>
        <v>5265000</v>
      </c>
      <c r="E114" s="39">
        <f t="shared" si="27"/>
        <v>935000</v>
      </c>
      <c r="F114" s="65">
        <f t="shared" si="28"/>
        <v>0.84919354838709682</v>
      </c>
    </row>
    <row r="115" spans="1:6" ht="15.6" x14ac:dyDescent="0.3">
      <c r="A115" s="6" t="s">
        <v>25</v>
      </c>
      <c r="B115" s="7" t="s">
        <v>171</v>
      </c>
      <c r="C115" s="28">
        <v>1840000</v>
      </c>
      <c r="D115" s="10">
        <v>1640000</v>
      </c>
      <c r="E115" s="39">
        <f t="shared" si="27"/>
        <v>200000</v>
      </c>
      <c r="F115" s="65">
        <f t="shared" si="28"/>
        <v>0.89130434782608692</v>
      </c>
    </row>
    <row r="116" spans="1:6" ht="30.6" x14ac:dyDescent="0.3">
      <c r="A116" s="6" t="s">
        <v>26</v>
      </c>
      <c r="B116" s="7" t="s">
        <v>172</v>
      </c>
      <c r="C116" s="28">
        <v>16600000</v>
      </c>
      <c r="D116" s="10">
        <f>4997500+6055000</f>
        <v>11052500</v>
      </c>
      <c r="E116" s="39">
        <f t="shared" si="27"/>
        <v>5547500</v>
      </c>
      <c r="F116" s="65">
        <f t="shared" si="28"/>
        <v>0.66581325301204819</v>
      </c>
    </row>
    <row r="117" spans="1:6" ht="15.6" x14ac:dyDescent="0.3">
      <c r="A117" s="6"/>
      <c r="B117" s="7" t="s">
        <v>161</v>
      </c>
      <c r="C117" s="28">
        <v>14000000</v>
      </c>
      <c r="D117" s="10">
        <v>13525000</v>
      </c>
      <c r="E117" s="39">
        <f t="shared" si="27"/>
        <v>475000</v>
      </c>
      <c r="F117" s="65">
        <f t="shared" si="28"/>
        <v>0.96607142857142858</v>
      </c>
    </row>
    <row r="118" spans="1:6" ht="30" x14ac:dyDescent="0.3">
      <c r="A118" s="6"/>
      <c r="B118" s="6" t="s">
        <v>185</v>
      </c>
      <c r="C118" s="10">
        <v>2000000</v>
      </c>
      <c r="D118" s="10">
        <v>635000</v>
      </c>
      <c r="E118" s="39">
        <f t="shared" si="27"/>
        <v>1365000</v>
      </c>
      <c r="F118" s="65">
        <f t="shared" si="28"/>
        <v>0.3175</v>
      </c>
    </row>
    <row r="119" spans="1:6" ht="15.6" x14ac:dyDescent="0.3">
      <c r="A119" s="23" t="s">
        <v>53</v>
      </c>
      <c r="B119" s="121" t="s">
        <v>54</v>
      </c>
      <c r="C119" s="29">
        <f>SUM(C120,C123,C131,C135)</f>
        <v>1866943774.303</v>
      </c>
      <c r="D119" s="29">
        <f>SUM(D120,D123,D131,D135)</f>
        <v>503236330</v>
      </c>
      <c r="E119" s="53">
        <f>SUM(E120,E123,E131,E135)</f>
        <v>1363707444.303</v>
      </c>
      <c r="F119" s="71">
        <f>D119/C119</f>
        <v>0.26955087610384892</v>
      </c>
    </row>
    <row r="120" spans="1:6" ht="15.6" x14ac:dyDescent="0.3">
      <c r="A120" s="21" t="s">
        <v>37</v>
      </c>
      <c r="B120" s="123" t="s">
        <v>55</v>
      </c>
      <c r="C120" s="27">
        <f>SUM(C121:C122)</f>
        <v>512248444</v>
      </c>
      <c r="D120" s="22">
        <f>SUM(D121:D122)</f>
        <v>193204330</v>
      </c>
      <c r="E120" s="52">
        <f>SUM(E121:E122)</f>
        <v>319044114</v>
      </c>
      <c r="F120" s="66">
        <f>D120/C120</f>
        <v>0.37716918862910204</v>
      </c>
    </row>
    <row r="121" spans="1:6" ht="15.6" x14ac:dyDescent="0.3">
      <c r="A121" s="6" t="s">
        <v>27</v>
      </c>
      <c r="B121" s="6" t="s">
        <v>173</v>
      </c>
      <c r="C121" s="10">
        <v>458790769</v>
      </c>
      <c r="D121" s="10">
        <v>193204330</v>
      </c>
      <c r="E121" s="38">
        <f>C121-D121</f>
        <v>265586439</v>
      </c>
      <c r="F121" s="65">
        <f>D121/C121</f>
        <v>0.42111642834731927</v>
      </c>
    </row>
    <row r="122" spans="1:6" ht="15.6" x14ac:dyDescent="0.3">
      <c r="A122" s="6" t="s">
        <v>28</v>
      </c>
      <c r="B122" s="6" t="s">
        <v>174</v>
      </c>
      <c r="C122" s="10">
        <v>53457675</v>
      </c>
      <c r="D122" s="10">
        <v>0</v>
      </c>
      <c r="E122" s="38">
        <f t="shared" ref="E122" si="29">C122-D122</f>
        <v>53457675</v>
      </c>
      <c r="F122" s="65">
        <f t="shared" ref="F122" si="30">D122/C122</f>
        <v>0</v>
      </c>
    </row>
    <row r="123" spans="1:6" ht="15.6" x14ac:dyDescent="0.3">
      <c r="A123" s="21" t="s">
        <v>39</v>
      </c>
      <c r="B123" s="123" t="s">
        <v>56</v>
      </c>
      <c r="C123" s="27">
        <f>SUM(C124:C130)</f>
        <v>1236155330.303</v>
      </c>
      <c r="D123" s="22">
        <f>SUM(D124:D130)</f>
        <v>310032000</v>
      </c>
      <c r="E123" s="52">
        <f>SUM(E124:E130)</f>
        <v>926123330.30299997</v>
      </c>
      <c r="F123" s="66">
        <f>D123/C123</f>
        <v>0.25080343254597831</v>
      </c>
    </row>
    <row r="124" spans="1:6" ht="15.6" x14ac:dyDescent="0.3">
      <c r="A124" s="6" t="s">
        <v>29</v>
      </c>
      <c r="B124" s="5" t="s">
        <v>175</v>
      </c>
      <c r="C124" s="10">
        <v>187854888.303</v>
      </c>
      <c r="D124" s="10">
        <f>26662000+27710000</f>
        <v>54372000</v>
      </c>
      <c r="E124" s="38">
        <f>C124-D124</f>
        <v>133482888.303</v>
      </c>
      <c r="F124" s="65">
        <f>D124/C124</f>
        <v>0.28943617326742566</v>
      </c>
    </row>
    <row r="125" spans="1:6" ht="15.6" x14ac:dyDescent="0.3">
      <c r="A125" s="6"/>
      <c r="B125" s="6" t="s">
        <v>248</v>
      </c>
      <c r="C125" s="10">
        <v>150000000</v>
      </c>
      <c r="D125" s="10">
        <v>0</v>
      </c>
      <c r="E125" s="38">
        <f t="shared" ref="E125:E130" si="31">C125-D125</f>
        <v>150000000</v>
      </c>
      <c r="F125" s="65">
        <f t="shared" ref="F125:F130" si="32">D125/C125</f>
        <v>0</v>
      </c>
    </row>
    <row r="126" spans="1:6" ht="15.6" x14ac:dyDescent="0.3">
      <c r="A126" s="6"/>
      <c r="B126" s="6" t="s">
        <v>178</v>
      </c>
      <c r="C126" s="10">
        <v>80000000</v>
      </c>
      <c r="D126" s="10">
        <v>34250000</v>
      </c>
      <c r="E126" s="38">
        <f t="shared" si="31"/>
        <v>45750000</v>
      </c>
      <c r="F126" s="65">
        <f t="shared" si="32"/>
        <v>0.42812499999999998</v>
      </c>
    </row>
    <row r="127" spans="1:6" ht="15.6" x14ac:dyDescent="0.3">
      <c r="A127" s="6"/>
      <c r="B127" s="6" t="s">
        <v>176</v>
      </c>
      <c r="C127" s="10">
        <v>375000000</v>
      </c>
      <c r="D127" s="10">
        <v>0</v>
      </c>
      <c r="E127" s="38">
        <f t="shared" si="31"/>
        <v>375000000</v>
      </c>
      <c r="F127" s="65">
        <f t="shared" si="32"/>
        <v>0</v>
      </c>
    </row>
    <row r="128" spans="1:6" ht="15.6" x14ac:dyDescent="0.3">
      <c r="A128" s="6"/>
      <c r="B128" s="6" t="s">
        <v>177</v>
      </c>
      <c r="C128" s="10">
        <v>214207300</v>
      </c>
      <c r="D128" s="10">
        <f>38410000+21000000</f>
        <v>59410000</v>
      </c>
      <c r="E128" s="38">
        <f t="shared" si="31"/>
        <v>154797300</v>
      </c>
      <c r="F128" s="65">
        <f t="shared" si="32"/>
        <v>0.277348157602472</v>
      </c>
    </row>
    <row r="129" spans="1:6" ht="30" x14ac:dyDescent="0.3">
      <c r="A129" s="6"/>
      <c r="B129" s="6" t="s">
        <v>180</v>
      </c>
      <c r="C129" s="10">
        <v>223457654</v>
      </c>
      <c r="D129" s="10">
        <f>49200000+46800000+33000000+33000000</f>
        <v>162000000</v>
      </c>
      <c r="E129" s="38">
        <f t="shared" si="31"/>
        <v>61457654</v>
      </c>
      <c r="F129" s="65">
        <f t="shared" si="32"/>
        <v>0.72496957298227072</v>
      </c>
    </row>
    <row r="130" spans="1:6" ht="45" x14ac:dyDescent="0.3">
      <c r="A130" s="6"/>
      <c r="B130" s="6" t="s">
        <v>181</v>
      </c>
      <c r="C130" s="10">
        <v>5635488</v>
      </c>
      <c r="D130" s="10">
        <v>0</v>
      </c>
      <c r="E130" s="38">
        <f t="shared" si="31"/>
        <v>5635488</v>
      </c>
      <c r="F130" s="65">
        <f t="shared" si="32"/>
        <v>0</v>
      </c>
    </row>
    <row r="131" spans="1:6" ht="15.6" x14ac:dyDescent="0.3">
      <c r="A131" s="21" t="s">
        <v>41</v>
      </c>
      <c r="B131" s="123" t="s">
        <v>179</v>
      </c>
      <c r="C131" s="27">
        <f>SUM(C132:C134)</f>
        <v>18540000</v>
      </c>
      <c r="D131" s="22">
        <f>SUM(D132:D134)</f>
        <v>0</v>
      </c>
      <c r="E131" s="52">
        <f>SUM(E132:E134)</f>
        <v>18540000</v>
      </c>
      <c r="F131" s="66">
        <f>D131/C131</f>
        <v>0</v>
      </c>
    </row>
    <row r="132" spans="1:6" ht="45" x14ac:dyDescent="0.3">
      <c r="A132" s="6" t="s">
        <v>30</v>
      </c>
      <c r="B132" s="6" t="s">
        <v>182</v>
      </c>
      <c r="C132" s="10">
        <v>11520000</v>
      </c>
      <c r="D132" s="10">
        <v>0</v>
      </c>
      <c r="E132" s="38">
        <f>C132-D132</f>
        <v>11520000</v>
      </c>
      <c r="F132" s="65">
        <f>D132/C132</f>
        <v>0</v>
      </c>
    </row>
    <row r="133" spans="1:6" ht="15.6" x14ac:dyDescent="0.3">
      <c r="A133" s="6" t="s">
        <v>31</v>
      </c>
      <c r="B133" s="6" t="s">
        <v>183</v>
      </c>
      <c r="C133" s="10">
        <v>3200000</v>
      </c>
      <c r="D133" s="10">
        <v>0</v>
      </c>
      <c r="E133" s="38">
        <f t="shared" ref="E133:E134" si="33">C133-D133</f>
        <v>3200000</v>
      </c>
      <c r="F133" s="65">
        <f t="shared" ref="F133:F134" si="34">D133/C133</f>
        <v>0</v>
      </c>
    </row>
    <row r="134" spans="1:6" ht="15.6" x14ac:dyDescent="0.3">
      <c r="A134" s="6" t="s">
        <v>32</v>
      </c>
      <c r="B134" s="6" t="s">
        <v>184</v>
      </c>
      <c r="C134" s="10">
        <v>3820000</v>
      </c>
      <c r="D134" s="10">
        <v>0</v>
      </c>
      <c r="E134" s="38">
        <f t="shared" si="33"/>
        <v>3820000</v>
      </c>
      <c r="F134" s="65">
        <f t="shared" si="34"/>
        <v>0</v>
      </c>
    </row>
    <row r="135" spans="1:6" ht="31.2" x14ac:dyDescent="0.3">
      <c r="A135" s="21" t="s">
        <v>46</v>
      </c>
      <c r="B135" s="123" t="s">
        <v>57</v>
      </c>
      <c r="C135" s="27">
        <f>SUM(C136)</f>
        <v>100000000</v>
      </c>
      <c r="D135" s="22">
        <f>SUM(D136:D136)</f>
        <v>0</v>
      </c>
      <c r="E135" s="51">
        <f>SUM(E136:E136)</f>
        <v>100000000</v>
      </c>
      <c r="F135" s="66">
        <f>D135/C135</f>
        <v>0</v>
      </c>
    </row>
    <row r="136" spans="1:6" ht="16.2" thickBot="1" x14ac:dyDescent="0.35">
      <c r="A136" s="6" t="s">
        <v>33</v>
      </c>
      <c r="B136" s="6" t="s">
        <v>34</v>
      </c>
      <c r="C136" s="10">
        <v>100000000</v>
      </c>
      <c r="D136" s="10">
        <v>0</v>
      </c>
      <c r="E136" s="38">
        <f>C136-D136</f>
        <v>100000000</v>
      </c>
      <c r="F136" s="65">
        <f>D136/C136</f>
        <v>0</v>
      </c>
    </row>
    <row r="137" spans="1:6" ht="18" thickBot="1" x14ac:dyDescent="0.35">
      <c r="A137" s="56"/>
      <c r="B137" s="125" t="s">
        <v>198</v>
      </c>
      <c r="C137" s="57">
        <f>SUM(C3,C102,C119)</f>
        <v>3241252918.303</v>
      </c>
      <c r="D137" s="57">
        <f>SUM(D3,D102,D119)</f>
        <v>1451079632</v>
      </c>
      <c r="E137" s="58">
        <f>SUM(E3,E102,E119)</f>
        <v>1790173286.303</v>
      </c>
      <c r="F137" s="73">
        <f>D137/C137</f>
        <v>0.44769096043258838</v>
      </c>
    </row>
    <row r="139" spans="1:6" x14ac:dyDescent="0.3">
      <c r="C139">
        <v>3145923878</v>
      </c>
    </row>
    <row r="140" spans="1:6" x14ac:dyDescent="0.3">
      <c r="C140" s="129">
        <f>C137-C139</f>
        <v>95329040.302999973</v>
      </c>
    </row>
  </sheetData>
  <mergeCells count="1">
    <mergeCell ref="A1:F1"/>
  </mergeCells>
  <conditionalFormatting sqref="B26">
    <cfRule type="duplicateValues" dxfId="31" priority="50"/>
  </conditionalFormatting>
  <conditionalFormatting sqref="B33">
    <cfRule type="duplicateValues" dxfId="30" priority="47"/>
  </conditionalFormatting>
  <conditionalFormatting sqref="B37:B38 B34">
    <cfRule type="duplicateValues" dxfId="29" priority="45"/>
  </conditionalFormatting>
  <conditionalFormatting sqref="B46">
    <cfRule type="duplicateValues" dxfId="28" priority="43"/>
  </conditionalFormatting>
  <conditionalFormatting sqref="B56">
    <cfRule type="duplicateValues" dxfId="27" priority="41"/>
  </conditionalFormatting>
  <conditionalFormatting sqref="B70">
    <cfRule type="duplicateValues" dxfId="26" priority="36"/>
  </conditionalFormatting>
  <conditionalFormatting sqref="B58:B59">
    <cfRule type="duplicateValues" dxfId="25" priority="35"/>
  </conditionalFormatting>
  <conditionalFormatting sqref="B80">
    <cfRule type="duplicateValues" dxfId="24" priority="34"/>
  </conditionalFormatting>
  <conditionalFormatting sqref="B82">
    <cfRule type="duplicateValues" dxfId="23" priority="32"/>
  </conditionalFormatting>
  <conditionalFormatting sqref="B63">
    <cfRule type="duplicateValues" dxfId="22" priority="25"/>
  </conditionalFormatting>
  <conditionalFormatting sqref="B85:B93">
    <cfRule type="duplicateValues" dxfId="21" priority="17"/>
  </conditionalFormatting>
  <conditionalFormatting sqref="B94">
    <cfRule type="duplicateValues" dxfId="20" priority="16"/>
  </conditionalFormatting>
  <conditionalFormatting sqref="B95">
    <cfRule type="duplicateValues" dxfId="19" priority="15"/>
  </conditionalFormatting>
  <conditionalFormatting sqref="B74">
    <cfRule type="duplicateValues" dxfId="18" priority="12"/>
  </conditionalFormatting>
  <conditionalFormatting sqref="B98:B100">
    <cfRule type="duplicateValues" dxfId="17" priority="11"/>
  </conditionalFormatting>
  <conditionalFormatting sqref="B124">
    <cfRule type="duplicateValues" dxfId="16" priority="2"/>
  </conditionalFormatting>
  <conditionalFormatting sqref="B65:B68">
    <cfRule type="duplicateValues" dxfId="15" priority="56"/>
  </conditionalFormatting>
  <conditionalFormatting sqref="B117 B104:B106">
    <cfRule type="duplicateValues" dxfId="14" priority="57"/>
  </conditionalFormatting>
  <conditionalFormatting sqref="B62">
    <cfRule type="duplicateValues" dxfId="13" priority="58"/>
  </conditionalFormatting>
  <conditionalFormatting sqref="B7 B11 B13">
    <cfRule type="duplicateValues" dxfId="12" priority="60"/>
  </conditionalFormatting>
  <conditionalFormatting sqref="B101">
    <cfRule type="duplicateValues" dxfId="11" priority="92"/>
  </conditionalFormatting>
  <conditionalFormatting sqref="B27:B29">
    <cfRule type="duplicateValues" dxfId="10" priority="122"/>
  </conditionalFormatting>
  <conditionalFormatting sqref="B57">
    <cfRule type="duplicateValues" dxfId="9" priority="130"/>
  </conditionalFormatting>
  <conditionalFormatting sqref="B60">
    <cfRule type="duplicateValues" dxfId="8" priority="132"/>
  </conditionalFormatting>
  <conditionalFormatting sqref="B61">
    <cfRule type="duplicateValues" dxfId="7" priority="134"/>
  </conditionalFormatting>
  <conditionalFormatting sqref="B64">
    <cfRule type="duplicateValues" dxfId="6" priority="140"/>
  </conditionalFormatting>
  <conditionalFormatting sqref="B39:B41">
    <cfRule type="duplicateValues" dxfId="5" priority="144"/>
  </conditionalFormatting>
  <conditionalFormatting sqref="B35:B36">
    <cfRule type="duplicateValues" dxfId="4" priority="146"/>
  </conditionalFormatting>
  <conditionalFormatting sqref="B31:B32">
    <cfRule type="duplicateValues" dxfId="3" priority="147"/>
  </conditionalFormatting>
  <conditionalFormatting sqref="B108:B110">
    <cfRule type="duplicateValues" dxfId="2" priority="158"/>
  </conditionalFormatting>
  <conditionalFormatting sqref="B112:B116">
    <cfRule type="duplicateValues" dxfId="1" priority="165"/>
  </conditionalFormatting>
  <conditionalFormatting sqref="B83:B84 B96">
    <cfRule type="duplicateValues" dxfId="0" priority="16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54"/>
  <sheetViews>
    <sheetView topLeftCell="A22" zoomScaleNormal="100" workbookViewId="0">
      <selection activeCell="C60" sqref="C60"/>
    </sheetView>
  </sheetViews>
  <sheetFormatPr baseColWidth="10" defaultRowHeight="14.4" x14ac:dyDescent="0.3"/>
  <cols>
    <col min="1" max="1" width="4.33203125" bestFit="1" customWidth="1"/>
    <col min="2" max="2" width="58.109375" style="75" bestFit="1" customWidth="1"/>
    <col min="3" max="3" width="16.77734375" style="15" bestFit="1" customWidth="1"/>
    <col min="4" max="4" width="17.6640625" style="15" bestFit="1" customWidth="1"/>
    <col min="5" max="5" width="15.5546875" style="15" customWidth="1"/>
    <col min="6" max="6" width="12.6640625" style="80" bestFit="1" customWidth="1"/>
  </cols>
  <sheetData>
    <row r="2" spans="1:6" ht="17.399999999999999" x14ac:dyDescent="0.3">
      <c r="A2" s="128" t="s">
        <v>230</v>
      </c>
      <c r="B2" s="128"/>
      <c r="C2" s="128"/>
      <c r="D2" s="128"/>
      <c r="E2" s="128"/>
      <c r="F2" s="128"/>
    </row>
    <row r="3" spans="1:6" ht="27.6" x14ac:dyDescent="0.3">
      <c r="A3" s="113"/>
      <c r="B3" s="113" t="s">
        <v>231</v>
      </c>
      <c r="C3" s="113" t="s">
        <v>224</v>
      </c>
      <c r="D3" s="113" t="s">
        <v>225</v>
      </c>
      <c r="E3" s="113" t="s">
        <v>226</v>
      </c>
      <c r="F3" s="113" t="s">
        <v>227</v>
      </c>
    </row>
    <row r="4" spans="1:6" x14ac:dyDescent="0.3">
      <c r="A4" s="111" t="s">
        <v>58</v>
      </c>
      <c r="B4" s="111" t="s">
        <v>232</v>
      </c>
      <c r="C4" s="115">
        <v>245983042</v>
      </c>
      <c r="D4" s="115">
        <v>0</v>
      </c>
      <c r="E4" s="115">
        <v>0</v>
      </c>
      <c r="F4" s="116">
        <f t="shared" ref="F4:F10" si="0">SUM(C4:E4)</f>
        <v>245983042</v>
      </c>
    </row>
    <row r="5" spans="1:6" x14ac:dyDescent="0.3">
      <c r="A5" s="111" t="s">
        <v>59</v>
      </c>
      <c r="B5" s="111" t="s">
        <v>233</v>
      </c>
      <c r="C5" s="115">
        <v>347213750</v>
      </c>
      <c r="D5" s="115">
        <v>0</v>
      </c>
      <c r="E5" s="115">
        <v>0</v>
      </c>
      <c r="F5" s="116">
        <f t="shared" si="0"/>
        <v>347213750</v>
      </c>
    </row>
    <row r="6" spans="1:6" x14ac:dyDescent="0.3">
      <c r="A6" s="111" t="s">
        <v>60</v>
      </c>
      <c r="B6" s="111" t="s">
        <v>234</v>
      </c>
      <c r="C6" s="115">
        <v>0</v>
      </c>
      <c r="D6" s="115">
        <v>89320000</v>
      </c>
      <c r="E6" s="115">
        <v>0</v>
      </c>
      <c r="F6" s="116">
        <f t="shared" si="0"/>
        <v>89320000</v>
      </c>
    </row>
    <row r="7" spans="1:6" x14ac:dyDescent="0.3">
      <c r="A7" s="111" t="s">
        <v>61</v>
      </c>
      <c r="B7" s="111" t="s">
        <v>235</v>
      </c>
      <c r="C7" s="115">
        <v>0</v>
      </c>
      <c r="D7" s="115">
        <v>425165600</v>
      </c>
      <c r="E7" s="115">
        <v>0</v>
      </c>
      <c r="F7" s="116">
        <f t="shared" si="0"/>
        <v>425165600</v>
      </c>
    </row>
    <row r="8" spans="1:6" x14ac:dyDescent="0.3">
      <c r="A8" s="111" t="s">
        <v>62</v>
      </c>
      <c r="B8" s="111" t="s">
        <v>236</v>
      </c>
      <c r="C8" s="115">
        <v>1136216136</v>
      </c>
      <c r="D8" s="115">
        <v>0</v>
      </c>
      <c r="E8" s="115">
        <v>0</v>
      </c>
      <c r="F8" s="116">
        <f t="shared" si="0"/>
        <v>1136216136</v>
      </c>
    </row>
    <row r="9" spans="1:6" ht="27.6" x14ac:dyDescent="0.3">
      <c r="A9" s="111" t="s">
        <v>237</v>
      </c>
      <c r="B9" s="111" t="s">
        <v>238</v>
      </c>
      <c r="C9" s="115">
        <v>912153900</v>
      </c>
      <c r="D9" s="115">
        <v>0</v>
      </c>
      <c r="E9" s="115">
        <v>0</v>
      </c>
      <c r="F9" s="116">
        <f t="shared" si="0"/>
        <v>912153900</v>
      </c>
    </row>
    <row r="10" spans="1:6" x14ac:dyDescent="0.3">
      <c r="A10" s="111" t="s">
        <v>239</v>
      </c>
      <c r="B10" s="111" t="s">
        <v>240</v>
      </c>
      <c r="C10" s="115">
        <v>0</v>
      </c>
      <c r="D10" s="115">
        <v>0</v>
      </c>
      <c r="E10" s="115">
        <v>6228832023</v>
      </c>
      <c r="F10" s="116">
        <f t="shared" si="0"/>
        <v>6228832023</v>
      </c>
    </row>
    <row r="11" spans="1:6" x14ac:dyDescent="0.3">
      <c r="A11" s="112"/>
      <c r="B11" s="112" t="s">
        <v>63</v>
      </c>
      <c r="C11" s="114">
        <f>SUM(C4:C10)</f>
        <v>2641566828</v>
      </c>
      <c r="D11" s="114">
        <f>SUM(D4:D10)</f>
        <v>514485600</v>
      </c>
      <c r="E11" s="114">
        <f>SUM(E4:E10)</f>
        <v>6228832023</v>
      </c>
      <c r="F11" s="114">
        <f>SUM(F4:F10)</f>
        <v>9384884451</v>
      </c>
    </row>
    <row r="12" spans="1:6" x14ac:dyDescent="0.3">
      <c r="A12" s="117"/>
      <c r="B12" s="117"/>
      <c r="C12" s="118"/>
      <c r="D12" s="118"/>
      <c r="E12" s="118"/>
      <c r="F12" s="118"/>
    </row>
    <row r="13" spans="1:6" x14ac:dyDescent="0.3">
      <c r="A13" s="117"/>
      <c r="B13" s="117"/>
      <c r="C13" s="118"/>
      <c r="D13" s="118"/>
      <c r="E13" s="118"/>
      <c r="F13" s="118"/>
    </row>
    <row r="14" spans="1:6" x14ac:dyDescent="0.3">
      <c r="A14" s="117"/>
      <c r="B14" s="117"/>
      <c r="C14" s="118"/>
      <c r="D14" s="118"/>
      <c r="E14" s="118"/>
      <c r="F14" s="118"/>
    </row>
    <row r="15" spans="1:6" s="4" customFormat="1" x14ac:dyDescent="0.3">
      <c r="A15"/>
      <c r="B15" s="75"/>
      <c r="C15" s="15"/>
      <c r="D15" s="15"/>
      <c r="E15" s="15"/>
      <c r="F15" s="80"/>
    </row>
    <row r="16" spans="1:6" x14ac:dyDescent="0.3">
      <c r="A16" s="85"/>
      <c r="B16" s="107" t="s">
        <v>65</v>
      </c>
      <c r="C16" s="87" t="s">
        <v>210</v>
      </c>
      <c r="D16" s="87" t="s">
        <v>66</v>
      </c>
      <c r="E16" s="87" t="s">
        <v>67</v>
      </c>
      <c r="F16" s="108" t="s">
        <v>211</v>
      </c>
    </row>
    <row r="17" spans="1:6" x14ac:dyDescent="0.3">
      <c r="A17" s="81" t="s">
        <v>35</v>
      </c>
      <c r="B17" s="105" t="s">
        <v>36</v>
      </c>
      <c r="C17" s="102">
        <f>C27</f>
        <v>2641566827.54</v>
      </c>
      <c r="D17" s="102">
        <f>D27</f>
        <v>885392859</v>
      </c>
      <c r="E17" s="102">
        <f>E27</f>
        <v>1732173968.54</v>
      </c>
      <c r="F17" s="106">
        <f>F27</f>
        <v>0.33517715689386357</v>
      </c>
    </row>
    <row r="18" spans="1:6" x14ac:dyDescent="0.3">
      <c r="A18" s="81" t="s">
        <v>48</v>
      </c>
      <c r="B18" s="105" t="s">
        <v>223</v>
      </c>
      <c r="C18" s="102">
        <f>C44</f>
        <v>514485600</v>
      </c>
      <c r="D18" s="102">
        <f>D44</f>
        <v>60750000</v>
      </c>
      <c r="E18" s="102">
        <f>E44</f>
        <v>453735600</v>
      </c>
      <c r="F18" s="106">
        <f>F44</f>
        <v>0.11807910658723976</v>
      </c>
    </row>
    <row r="19" spans="1:6" x14ac:dyDescent="0.3">
      <c r="A19" s="81" t="s">
        <v>53</v>
      </c>
      <c r="B19" s="105" t="s">
        <v>54</v>
      </c>
      <c r="C19" s="102">
        <f>C49</f>
        <v>6228832023.3029995</v>
      </c>
      <c r="D19" s="102">
        <f>D49</f>
        <v>510915393</v>
      </c>
      <c r="E19" s="102">
        <f>E49</f>
        <v>5724381373.3029995</v>
      </c>
      <c r="F19" s="106">
        <f>F49</f>
        <v>8.2024268930128236E-2</v>
      </c>
    </row>
    <row r="20" spans="1:6" s="4" customFormat="1" x14ac:dyDescent="0.3">
      <c r="A20" s="109"/>
      <c r="B20" s="107" t="s">
        <v>198</v>
      </c>
      <c r="C20" s="87">
        <f>C54</f>
        <v>9384884450.8429985</v>
      </c>
      <c r="D20" s="87">
        <f>D54</f>
        <v>1457058252</v>
      </c>
      <c r="E20" s="87">
        <f>E54</f>
        <v>7910290941.8429995</v>
      </c>
      <c r="F20" s="108">
        <f>F54</f>
        <v>0.15525585420171259</v>
      </c>
    </row>
    <row r="21" spans="1:6" s="4" customFormat="1" x14ac:dyDescent="0.3">
      <c r="A21"/>
      <c r="B21" s="75"/>
      <c r="C21" s="15"/>
      <c r="D21" s="15"/>
      <c r="E21" s="15"/>
      <c r="F21" s="80"/>
    </row>
    <row r="22" spans="1:6" s="4" customFormat="1" x14ac:dyDescent="0.3">
      <c r="A22"/>
      <c r="B22" s="75"/>
      <c r="C22" s="15"/>
      <c r="D22" s="15"/>
      <c r="E22" s="15"/>
      <c r="F22" s="80"/>
    </row>
    <row r="23" spans="1:6" s="4" customFormat="1" x14ac:dyDescent="0.3">
      <c r="A23"/>
      <c r="B23" s="75"/>
      <c r="C23" s="15"/>
      <c r="D23" s="15"/>
      <c r="E23" s="15"/>
      <c r="F23" s="80"/>
    </row>
    <row r="24" spans="1:6" s="4" customFormat="1" x14ac:dyDescent="0.3">
      <c r="A24"/>
      <c r="B24" s="75"/>
      <c r="C24" s="15"/>
      <c r="D24" s="15"/>
      <c r="E24" s="15"/>
      <c r="F24" s="80"/>
    </row>
    <row r="25" spans="1:6" s="4" customFormat="1" ht="17.399999999999999" x14ac:dyDescent="0.3">
      <c r="A25" s="110"/>
      <c r="B25" s="127" t="s">
        <v>222</v>
      </c>
      <c r="C25" s="127"/>
      <c r="D25" s="127"/>
      <c r="E25" s="127"/>
      <c r="F25" s="127"/>
    </row>
    <row r="26" spans="1:6" s="4" customFormat="1" x14ac:dyDescent="0.3">
      <c r="A26" s="81"/>
      <c r="B26" s="82" t="s">
        <v>65</v>
      </c>
      <c r="C26" s="83" t="s">
        <v>228</v>
      </c>
      <c r="D26" s="83" t="s">
        <v>229</v>
      </c>
      <c r="E26" s="83" t="s">
        <v>67</v>
      </c>
      <c r="F26" s="84" t="s">
        <v>211</v>
      </c>
    </row>
    <row r="27" spans="1:6" s="4" customFormat="1" x14ac:dyDescent="0.3">
      <c r="A27" s="85" t="s">
        <v>35</v>
      </c>
      <c r="B27" s="86" t="s">
        <v>36</v>
      </c>
      <c r="C27" s="87">
        <f>SUM(C28,C32,C38,C42,C43)</f>
        <v>2641566827.54</v>
      </c>
      <c r="D27" s="87">
        <f>SUM(D28,D32,D38,D42,D43)</f>
        <v>885392859</v>
      </c>
      <c r="E27" s="87">
        <f>SUM(E28,E32,E38,E42,E43)</f>
        <v>1732173968.54</v>
      </c>
      <c r="F27" s="88">
        <f>D27/C27</f>
        <v>0.33517715689386357</v>
      </c>
    </row>
    <row r="28" spans="1:6" s="4" customFormat="1" x14ac:dyDescent="0.3">
      <c r="A28" s="89" t="s">
        <v>37</v>
      </c>
      <c r="B28" s="90" t="s">
        <v>38</v>
      </c>
      <c r="C28" s="91">
        <f>SUM(C29:C31)</f>
        <v>691656635.53999996</v>
      </c>
      <c r="D28" s="91">
        <f>SUM(D29:D31)</f>
        <v>474618240</v>
      </c>
      <c r="E28" s="91">
        <f>SUM(E29:E31)</f>
        <v>193038395.53999999</v>
      </c>
      <c r="F28" s="92">
        <f>D28/C28</f>
        <v>0.68620499770012233</v>
      </c>
    </row>
    <row r="29" spans="1:6" s="4" customFormat="1" x14ac:dyDescent="0.3">
      <c r="A29" s="93" t="s">
        <v>213</v>
      </c>
      <c r="B29" s="94" t="s">
        <v>214</v>
      </c>
      <c r="C29" s="95">
        <v>205580034.53999999</v>
      </c>
      <c r="D29" s="95">
        <v>159341639</v>
      </c>
      <c r="E29" s="95">
        <v>22238395.539999999</v>
      </c>
      <c r="F29" s="96">
        <f>D29/C29</f>
        <v>0.77508323878113117</v>
      </c>
    </row>
    <row r="30" spans="1:6" s="4" customFormat="1" x14ac:dyDescent="0.3">
      <c r="A30" s="93" t="s">
        <v>217</v>
      </c>
      <c r="B30" s="94" t="s">
        <v>218</v>
      </c>
      <c r="C30" s="95">
        <v>469576601</v>
      </c>
      <c r="D30" s="95">
        <v>314276601</v>
      </c>
      <c r="E30" s="95">
        <v>155300000</v>
      </c>
      <c r="F30" s="96">
        <f t="shared" ref="F30:F31" si="1">D30/C30</f>
        <v>0.66927653620457972</v>
      </c>
    </row>
    <row r="31" spans="1:6" s="4" customFormat="1" x14ac:dyDescent="0.3">
      <c r="A31" s="93" t="s">
        <v>215</v>
      </c>
      <c r="B31" s="94" t="s">
        <v>216</v>
      </c>
      <c r="C31" s="95">
        <v>16500000</v>
      </c>
      <c r="D31" s="95">
        <v>1000000</v>
      </c>
      <c r="E31" s="95">
        <v>15500000</v>
      </c>
      <c r="F31" s="96">
        <f t="shared" si="1"/>
        <v>6.0606060606060608E-2</v>
      </c>
    </row>
    <row r="32" spans="1:6" s="4" customFormat="1" x14ac:dyDescent="0.3">
      <c r="A32" s="97" t="s">
        <v>39</v>
      </c>
      <c r="B32" s="90" t="s">
        <v>40</v>
      </c>
      <c r="C32" s="98">
        <f>SUM(C33:C37)</f>
        <v>474329392</v>
      </c>
      <c r="D32" s="98">
        <f>SUM(D33:D37)</f>
        <v>155691350</v>
      </c>
      <c r="E32" s="98">
        <f>SUM(E33:E37)</f>
        <v>318638042</v>
      </c>
      <c r="F32" s="99">
        <f>D32/C32</f>
        <v>0.32823466693373282</v>
      </c>
    </row>
    <row r="33" spans="1:6" s="4" customFormat="1" x14ac:dyDescent="0.3">
      <c r="A33" s="93" t="s">
        <v>206</v>
      </c>
      <c r="B33" s="94" t="s">
        <v>5</v>
      </c>
      <c r="C33" s="95">
        <v>12470000</v>
      </c>
      <c r="D33" s="95">
        <v>17534000</v>
      </c>
      <c r="E33" s="95">
        <f>C33-D33</f>
        <v>-5064000</v>
      </c>
      <c r="F33" s="96">
        <f>D33/C33</f>
        <v>1.4060946271050521</v>
      </c>
    </row>
    <row r="34" spans="1:6" s="4" customFormat="1" x14ac:dyDescent="0.3">
      <c r="A34" s="100" t="s">
        <v>207</v>
      </c>
      <c r="B34" s="101" t="s">
        <v>187</v>
      </c>
      <c r="C34" s="102">
        <v>10476000</v>
      </c>
      <c r="D34" s="102">
        <v>665500</v>
      </c>
      <c r="E34" s="102">
        <v>9810500</v>
      </c>
      <c r="F34" s="103">
        <f>D34/C34</f>
        <v>6.3526155021000383E-2</v>
      </c>
    </row>
    <row r="35" spans="1:6" s="4" customFormat="1" x14ac:dyDescent="0.3">
      <c r="A35" s="100" t="s">
        <v>207</v>
      </c>
      <c r="B35" s="101" t="s">
        <v>8</v>
      </c>
      <c r="C35" s="102">
        <v>44800000</v>
      </c>
      <c r="D35" s="102">
        <v>45219000</v>
      </c>
      <c r="E35" s="102">
        <v>-419000</v>
      </c>
      <c r="F35" s="103">
        <f t="shared" ref="F35:F37" si="2">D35/C35</f>
        <v>1.0093526785714286</v>
      </c>
    </row>
    <row r="36" spans="1:6" s="4" customFormat="1" x14ac:dyDescent="0.3">
      <c r="A36" s="100" t="s">
        <v>208</v>
      </c>
      <c r="B36" s="101" t="s">
        <v>202</v>
      </c>
      <c r="C36" s="102">
        <v>59369642</v>
      </c>
      <c r="D36" s="102">
        <v>81647850</v>
      </c>
      <c r="E36" s="102">
        <v>-22278208</v>
      </c>
      <c r="F36" s="103">
        <f t="shared" si="2"/>
        <v>1.3752457863902903</v>
      </c>
    </row>
    <row r="37" spans="1:6" s="4" customFormat="1" x14ac:dyDescent="0.3">
      <c r="A37" s="100" t="s">
        <v>209</v>
      </c>
      <c r="B37" s="101" t="s">
        <v>102</v>
      </c>
      <c r="C37" s="102">
        <v>347213750</v>
      </c>
      <c r="D37" s="102">
        <v>10625000</v>
      </c>
      <c r="E37" s="102">
        <v>336588750</v>
      </c>
      <c r="F37" s="103">
        <f t="shared" si="2"/>
        <v>3.060074665821846E-2</v>
      </c>
    </row>
    <row r="38" spans="1:6" s="4" customFormat="1" x14ac:dyDescent="0.3">
      <c r="A38" s="97" t="s">
        <v>41</v>
      </c>
      <c r="B38" s="90" t="s">
        <v>42</v>
      </c>
      <c r="C38" s="98">
        <f>SUM(C39:C41)</f>
        <v>777323900</v>
      </c>
      <c r="D38" s="98">
        <f>SUM(D39:D41)</f>
        <v>136504919</v>
      </c>
      <c r="E38" s="98">
        <f>SUM(E39:E41)</f>
        <v>640818981</v>
      </c>
      <c r="F38" s="99">
        <f>D38/C38</f>
        <v>0.1756088021994435</v>
      </c>
    </row>
    <row r="39" spans="1:6" s="4" customFormat="1" x14ac:dyDescent="0.3">
      <c r="A39" s="81" t="s">
        <v>43</v>
      </c>
      <c r="B39" s="101" t="s">
        <v>83</v>
      </c>
      <c r="C39" s="102">
        <v>223951850</v>
      </c>
      <c r="D39" s="102">
        <v>29664240</v>
      </c>
      <c r="E39" s="102">
        <v>194287610</v>
      </c>
      <c r="F39" s="103">
        <f>D39/C39</f>
        <v>0.13245811543865343</v>
      </c>
    </row>
    <row r="40" spans="1:6" s="4" customFormat="1" x14ac:dyDescent="0.3">
      <c r="A40" s="81" t="s">
        <v>44</v>
      </c>
      <c r="B40" s="101" t="s">
        <v>89</v>
      </c>
      <c r="C40" s="102">
        <v>108812550</v>
      </c>
      <c r="D40" s="102">
        <v>16279350</v>
      </c>
      <c r="E40" s="102">
        <v>92533200</v>
      </c>
      <c r="F40" s="103">
        <f t="shared" ref="F40:F41" si="3">D40/C40</f>
        <v>0.14960912137432678</v>
      </c>
    </row>
    <row r="41" spans="1:6" s="4" customFormat="1" x14ac:dyDescent="0.3">
      <c r="A41" s="81" t="s">
        <v>45</v>
      </c>
      <c r="B41" s="101" t="s">
        <v>106</v>
      </c>
      <c r="C41" s="102">
        <v>444559500</v>
      </c>
      <c r="D41" s="102">
        <v>90561329</v>
      </c>
      <c r="E41" s="102">
        <v>353998171</v>
      </c>
      <c r="F41" s="103">
        <f t="shared" si="3"/>
        <v>0.20371025475779958</v>
      </c>
    </row>
    <row r="42" spans="1:6" s="4" customFormat="1" x14ac:dyDescent="0.3">
      <c r="A42" s="97" t="s">
        <v>219</v>
      </c>
      <c r="B42" s="90" t="s">
        <v>134</v>
      </c>
      <c r="C42" s="98">
        <v>579389500</v>
      </c>
      <c r="D42" s="98">
        <v>91203350</v>
      </c>
      <c r="E42" s="98">
        <v>488186150</v>
      </c>
      <c r="F42" s="99">
        <f>D42/C42</f>
        <v>0.15741284576265188</v>
      </c>
    </row>
    <row r="43" spans="1:6" s="4" customFormat="1" x14ac:dyDescent="0.3">
      <c r="A43" s="97" t="s">
        <v>220</v>
      </c>
      <c r="B43" s="90" t="s">
        <v>47</v>
      </c>
      <c r="C43" s="98">
        <v>118867400</v>
      </c>
      <c r="D43" s="98">
        <v>27375000</v>
      </c>
      <c r="E43" s="98">
        <v>91492400</v>
      </c>
      <c r="F43" s="99">
        <f>D43/C43</f>
        <v>0.23029863528604141</v>
      </c>
    </row>
    <row r="44" spans="1:6" s="4" customFormat="1" x14ac:dyDescent="0.3">
      <c r="A44" s="85" t="s">
        <v>48</v>
      </c>
      <c r="B44" s="86" t="s">
        <v>49</v>
      </c>
      <c r="C44" s="87">
        <f>SUM(C45:C48)</f>
        <v>514485600</v>
      </c>
      <c r="D44" s="87">
        <f>SUM(D45:D48)</f>
        <v>60750000</v>
      </c>
      <c r="E44" s="87">
        <f>SUM(E45:E48)</f>
        <v>453735600</v>
      </c>
      <c r="F44" s="88">
        <f>D44/C44</f>
        <v>0.11807910658723976</v>
      </c>
    </row>
    <row r="45" spans="1:6" x14ac:dyDescent="0.3">
      <c r="A45" s="97" t="s">
        <v>37</v>
      </c>
      <c r="B45" s="90" t="s">
        <v>50</v>
      </c>
      <c r="C45" s="98">
        <v>181925600</v>
      </c>
      <c r="D45" s="98">
        <v>13377500</v>
      </c>
      <c r="E45" s="98">
        <v>168548100</v>
      </c>
      <c r="F45" s="99">
        <f>D45/C45</f>
        <v>7.3532806817732083E-2</v>
      </c>
    </row>
    <row r="46" spans="1:6" x14ac:dyDescent="0.3">
      <c r="A46" s="97" t="s">
        <v>39</v>
      </c>
      <c r="B46" s="90" t="s">
        <v>51</v>
      </c>
      <c r="C46" s="98">
        <v>35840000</v>
      </c>
      <c r="D46" s="98">
        <v>2205000</v>
      </c>
      <c r="E46" s="98">
        <v>33635000</v>
      </c>
      <c r="F46" s="99">
        <f t="shared" ref="F46:F48" si="4">D46/C46</f>
        <v>6.15234375E-2</v>
      </c>
    </row>
    <row r="47" spans="1:6" x14ac:dyDescent="0.3">
      <c r="A47" s="97" t="s">
        <v>41</v>
      </c>
      <c r="B47" s="90" t="s">
        <v>52</v>
      </c>
      <c r="C47" s="98">
        <v>89320000</v>
      </c>
      <c r="D47" s="98">
        <v>45167500</v>
      </c>
      <c r="E47" s="98">
        <v>44152500</v>
      </c>
      <c r="F47" s="99">
        <f t="shared" si="4"/>
        <v>0.50568181818181823</v>
      </c>
    </row>
    <row r="48" spans="1:6" x14ac:dyDescent="0.3">
      <c r="A48" s="97" t="s">
        <v>39</v>
      </c>
      <c r="B48" s="90" t="s">
        <v>164</v>
      </c>
      <c r="C48" s="98">
        <v>207400000</v>
      </c>
      <c r="D48" s="98">
        <v>0</v>
      </c>
      <c r="E48" s="98">
        <v>207400000</v>
      </c>
      <c r="F48" s="99">
        <f t="shared" si="4"/>
        <v>0</v>
      </c>
    </row>
    <row r="49" spans="1:6" x14ac:dyDescent="0.3">
      <c r="A49" s="85" t="s">
        <v>53</v>
      </c>
      <c r="B49" s="86" t="s">
        <v>54</v>
      </c>
      <c r="C49" s="87">
        <f>SUM(C50:C53)</f>
        <v>6228832023.3029995</v>
      </c>
      <c r="D49" s="87">
        <f>SUM(D50:D53)</f>
        <v>510915393</v>
      </c>
      <c r="E49" s="87">
        <f>SUM(E50:E53)</f>
        <v>5724381373.3029995</v>
      </c>
      <c r="F49" s="88">
        <f>D49/C49</f>
        <v>8.2024268930128236E-2</v>
      </c>
    </row>
    <row r="50" spans="1:6" x14ac:dyDescent="0.3">
      <c r="A50" s="97" t="s">
        <v>37</v>
      </c>
      <c r="B50" s="90" t="s">
        <v>55</v>
      </c>
      <c r="C50" s="98">
        <v>2940448670</v>
      </c>
      <c r="D50" s="98">
        <v>0</v>
      </c>
      <c r="E50" s="98">
        <v>2940448670</v>
      </c>
      <c r="F50" s="99">
        <f>D50/C50</f>
        <v>0</v>
      </c>
    </row>
    <row r="51" spans="1:6" x14ac:dyDescent="0.3">
      <c r="A51" s="97" t="s">
        <v>39</v>
      </c>
      <c r="B51" s="90" t="s">
        <v>56</v>
      </c>
      <c r="C51" s="98">
        <v>3040843353.303</v>
      </c>
      <c r="D51" s="98">
        <v>311246320</v>
      </c>
      <c r="E51" s="98">
        <v>2729597033.303</v>
      </c>
      <c r="F51" s="99">
        <f t="shared" ref="F51:F53" si="5">D51/C51</f>
        <v>0.10235526261552426</v>
      </c>
    </row>
    <row r="52" spans="1:6" x14ac:dyDescent="0.3">
      <c r="A52" s="97" t="s">
        <v>41</v>
      </c>
      <c r="B52" s="90" t="s">
        <v>179</v>
      </c>
      <c r="C52" s="98">
        <v>47540000</v>
      </c>
      <c r="D52" s="98">
        <v>0</v>
      </c>
      <c r="E52" s="98">
        <v>47540000</v>
      </c>
      <c r="F52" s="99">
        <f t="shared" si="5"/>
        <v>0</v>
      </c>
    </row>
    <row r="53" spans="1:6" ht="28.2" x14ac:dyDescent="0.3">
      <c r="A53" s="97" t="s">
        <v>46</v>
      </c>
      <c r="B53" s="90" t="s">
        <v>57</v>
      </c>
      <c r="C53" s="98">
        <v>200000000</v>
      </c>
      <c r="D53" s="98">
        <v>199669073</v>
      </c>
      <c r="E53" s="98">
        <v>6795670</v>
      </c>
      <c r="F53" s="99">
        <f t="shared" si="5"/>
        <v>0.99834536500000004</v>
      </c>
    </row>
    <row r="54" spans="1:6" x14ac:dyDescent="0.3">
      <c r="A54" s="85"/>
      <c r="B54" s="104" t="s">
        <v>198</v>
      </c>
      <c r="C54" s="87">
        <f>SUM(C27,C44,C49)</f>
        <v>9384884450.8429985</v>
      </c>
      <c r="D54" s="87">
        <f>SUM(D27,D44,D49)</f>
        <v>1457058252</v>
      </c>
      <c r="E54" s="87">
        <f>SUM(E27,E44,E49)</f>
        <v>7910290941.8429995</v>
      </c>
      <c r="F54" s="88">
        <f>D54/C54</f>
        <v>0.15525585420171259</v>
      </c>
    </row>
  </sheetData>
  <mergeCells count="2">
    <mergeCell ref="B25:F25"/>
    <mergeCell ref="A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8"/>
  <sheetViews>
    <sheetView showFormulas="1" workbookViewId="0">
      <selection activeCell="F10" sqref="A1:XFD1048576"/>
    </sheetView>
  </sheetViews>
  <sheetFormatPr baseColWidth="10" defaultRowHeight="14.4" x14ac:dyDescent="0.3"/>
  <cols>
    <col min="1" max="1" width="87.5546875" customWidth="1"/>
  </cols>
  <sheetData>
    <row r="1" spans="1:1" ht="15.6" x14ac:dyDescent="0.3">
      <c r="A1" s="29">
        <f>SUM(A2,A6,A34,A71)</f>
        <v>416475062</v>
      </c>
    </row>
    <row r="2" spans="1:1" ht="15.6" x14ac:dyDescent="0.3">
      <c r="A2" s="17">
        <f>SUM(A3:A5)</f>
        <v>10464743</v>
      </c>
    </row>
    <row r="3" spans="1:1" ht="15" x14ac:dyDescent="0.3">
      <c r="A3" s="10">
        <f>2250000+750000</f>
        <v>3000000</v>
      </c>
    </row>
    <row r="4" spans="1:1" ht="15" x14ac:dyDescent="0.3">
      <c r="A4" s="37">
        <v>6464743</v>
      </c>
    </row>
    <row r="5" spans="1:1" ht="15" x14ac:dyDescent="0.3">
      <c r="A5" s="10">
        <v>1000000</v>
      </c>
    </row>
    <row r="6" spans="1:1" ht="15.6" x14ac:dyDescent="0.3">
      <c r="A6" s="17">
        <f>SUM(A7,A11,A14,A17,A22)</f>
        <v>154641350</v>
      </c>
    </row>
    <row r="7" spans="1:1" ht="15.6" x14ac:dyDescent="0.3">
      <c r="A7" s="20">
        <f>SUM(A8:A10)</f>
        <v>17534000</v>
      </c>
    </row>
    <row r="8" spans="1:1" ht="15" x14ac:dyDescent="0.3">
      <c r="A8" s="10">
        <f>76000+73000+719500+783500+741000+577500+4300000+3420000+1500000+676500+1642500+1025000+344000+441500</f>
        <v>16320000</v>
      </c>
    </row>
    <row r="9" spans="1:1" ht="15" x14ac:dyDescent="0.3">
      <c r="A9" s="10">
        <f>525000+447500</f>
        <v>972500</v>
      </c>
    </row>
    <row r="10" spans="1:1" ht="15" x14ac:dyDescent="0.3">
      <c r="A10" s="10">
        <v>241500</v>
      </c>
    </row>
    <row r="11" spans="1:1" ht="15.6" x14ac:dyDescent="0.3">
      <c r="A11" s="20">
        <f>SUM(A12:A13)</f>
        <v>665500</v>
      </c>
    </row>
    <row r="12" spans="1:1" ht="15" x14ac:dyDescent="0.3">
      <c r="A12" s="10">
        <f>39000+357500+204000</f>
        <v>600500</v>
      </c>
    </row>
    <row r="13" spans="1:1" ht="15" x14ac:dyDescent="0.3">
      <c r="A13" s="10">
        <v>65000</v>
      </c>
    </row>
    <row r="14" spans="1:1" ht="15.6" x14ac:dyDescent="0.3">
      <c r="A14" s="20">
        <f>SUM(A15:A16)</f>
        <v>45427800</v>
      </c>
    </row>
    <row r="15" spans="1:1" ht="15" x14ac:dyDescent="0.3">
      <c r="A15" s="10">
        <f>3773000+3457000+4153000+3933000+3243000+3265000+3741000+3757000+3919000+3933000+3933000+3947000+165000</f>
        <v>45219000</v>
      </c>
    </row>
    <row r="16" spans="1:1" ht="15" x14ac:dyDescent="0.3">
      <c r="A16" s="13">
        <v>208800</v>
      </c>
    </row>
    <row r="17" spans="1:1" ht="15.6" x14ac:dyDescent="0.3">
      <c r="A17" s="20">
        <f>SUM(A18:A21)</f>
        <v>81439050</v>
      </c>
    </row>
    <row r="18" spans="1:1" ht="15" x14ac:dyDescent="0.3">
      <c r="A18" s="10">
        <f>1387000+631950+709000+987500+987500+2184500+3244000+900000+125000+684250+145000+445000</f>
        <v>12430700</v>
      </c>
    </row>
    <row r="19" spans="1:1" ht="15" x14ac:dyDescent="0.3">
      <c r="A19" s="10">
        <f>1237000+1225800+888500+1119000+643000+366000+230000+350000</f>
        <v>6059300</v>
      </c>
    </row>
    <row r="20" spans="1:1" ht="15" x14ac:dyDescent="0.3">
      <c r="A20" s="10">
        <f>170000+325000+2650800+50000+744250+75000+963000+178000+105000+88000</f>
        <v>5349050</v>
      </c>
    </row>
    <row r="21" spans="1:1" ht="15" x14ac:dyDescent="0.3">
      <c r="A21" s="10">
        <f>9600000+9600000+9600000+9600000+9600000+9600000</f>
        <v>57600000</v>
      </c>
    </row>
    <row r="22" spans="1:1" ht="15.6" x14ac:dyDescent="0.3">
      <c r="A22" s="20">
        <f>SUM(A23:A33)</f>
        <v>9575000</v>
      </c>
    </row>
    <row r="23" spans="1:1" ht="15" x14ac:dyDescent="0.3">
      <c r="A23" s="10">
        <f>375000+375000+375000+375000+375000</f>
        <v>1875000</v>
      </c>
    </row>
    <row r="24" spans="1:1" ht="15" x14ac:dyDescent="0.3">
      <c r="A24" s="10">
        <f>150000+400000</f>
        <v>550000</v>
      </c>
    </row>
    <row r="25" spans="1:1" ht="15" x14ac:dyDescent="0.3">
      <c r="A25" s="10">
        <f>630000+420000</f>
        <v>1050000</v>
      </c>
    </row>
    <row r="26" spans="1:1" ht="15" x14ac:dyDescent="0.3">
      <c r="A26" s="10">
        <v>0</v>
      </c>
    </row>
    <row r="27" spans="1:1" ht="15" x14ac:dyDescent="0.3">
      <c r="A27" s="10">
        <v>0</v>
      </c>
    </row>
    <row r="28" spans="1:1" ht="15" x14ac:dyDescent="0.3">
      <c r="A28" s="10">
        <v>0</v>
      </c>
    </row>
    <row r="29" spans="1:1" ht="15" x14ac:dyDescent="0.3">
      <c r="A29" s="10">
        <v>5000000</v>
      </c>
    </row>
    <row r="30" spans="1:1" ht="15" x14ac:dyDescent="0.3">
      <c r="A30" s="10">
        <v>1100000</v>
      </c>
    </row>
    <row r="31" spans="1:1" ht="15" x14ac:dyDescent="0.3">
      <c r="A31" s="10">
        <v>0</v>
      </c>
    </row>
    <row r="32" spans="1:1" ht="15" x14ac:dyDescent="0.3">
      <c r="A32" s="10">
        <v>0</v>
      </c>
    </row>
    <row r="33" spans="1:1" ht="15" x14ac:dyDescent="0.3">
      <c r="A33" s="10">
        <v>0</v>
      </c>
    </row>
    <row r="34" spans="1:1" ht="15.6" x14ac:dyDescent="0.3">
      <c r="A34" s="27">
        <f>SUM(A35,A41,A45,A63)</f>
        <v>223993969</v>
      </c>
    </row>
    <row r="35" spans="1:1" ht="15.6" x14ac:dyDescent="0.3">
      <c r="A35" s="20">
        <f>SUM(A36:A40)</f>
        <v>29664240</v>
      </c>
    </row>
    <row r="36" spans="1:1" ht="15" x14ac:dyDescent="0.3">
      <c r="A36" s="10">
        <f>1200000+645000+1865640+730000+710000+1921800+5514400+1837800</f>
        <v>14424640</v>
      </c>
    </row>
    <row r="37" spans="1:1" ht="15" x14ac:dyDescent="0.3">
      <c r="A37" s="10">
        <v>14739600</v>
      </c>
    </row>
    <row r="38" spans="1:1" ht="15" x14ac:dyDescent="0.3">
      <c r="A38" s="41">
        <v>500000</v>
      </c>
    </row>
    <row r="39" spans="1:1" ht="15" x14ac:dyDescent="0.3">
      <c r="A39" s="10">
        <v>0</v>
      </c>
    </row>
    <row r="40" spans="1:1" ht="15" x14ac:dyDescent="0.3">
      <c r="A40" s="10">
        <v>0</v>
      </c>
    </row>
    <row r="41" spans="1:1" ht="15.6" x14ac:dyDescent="0.3">
      <c r="A41" s="20">
        <f>SUM(A42:A44)</f>
        <v>12565050</v>
      </c>
    </row>
    <row r="42" spans="1:1" ht="15" x14ac:dyDescent="0.3">
      <c r="A42" s="10">
        <f>3937000+2647500</f>
        <v>6584500</v>
      </c>
    </row>
    <row r="43" spans="1:1" ht="15" x14ac:dyDescent="0.3">
      <c r="A43" s="10">
        <v>0</v>
      </c>
    </row>
    <row r="44" spans="1:1" ht="15" x14ac:dyDescent="0.3">
      <c r="A44" s="10">
        <v>5980550</v>
      </c>
    </row>
    <row r="45" spans="1:1" ht="15.6" x14ac:dyDescent="0.3">
      <c r="A45" s="20">
        <f>SUM(A46,A60)</f>
        <v>90561329</v>
      </c>
    </row>
    <row r="46" spans="1:1" ht="15" x14ac:dyDescent="0.3">
      <c r="A46" s="164">
        <f>SUM(A47:A59)</f>
        <v>88152329</v>
      </c>
    </row>
    <row r="47" spans="1:1" ht="15" x14ac:dyDescent="0.3">
      <c r="A47" s="13">
        <f>1000000+1500000</f>
        <v>2500000</v>
      </c>
    </row>
    <row r="48" spans="1:1" ht="15" x14ac:dyDescent="0.3">
      <c r="A48" s="10">
        <v>850000</v>
      </c>
    </row>
    <row r="49" spans="1:1" ht="15" x14ac:dyDescent="0.3">
      <c r="A49" s="10">
        <f>3607000+3607000</f>
        <v>7214000</v>
      </c>
    </row>
    <row r="50" spans="1:1" ht="15" x14ac:dyDescent="0.3">
      <c r="A50" s="10">
        <f>4790000+1909000+1805000+1550000+2392200+2250000</f>
        <v>14696200</v>
      </c>
    </row>
    <row r="51" spans="1:1" ht="15" x14ac:dyDescent="0.3">
      <c r="A51" s="10">
        <v>8140000</v>
      </c>
    </row>
    <row r="52" spans="1:1" ht="15" x14ac:dyDescent="0.3">
      <c r="A52" s="10">
        <v>4040695</v>
      </c>
    </row>
    <row r="53" spans="1:1" ht="15" x14ac:dyDescent="0.3">
      <c r="A53" s="10">
        <f>500000+500000+1100000+500000+33000</f>
        <v>2633000</v>
      </c>
    </row>
    <row r="54" spans="1:1" ht="15" x14ac:dyDescent="0.3">
      <c r="A54" s="10">
        <v>9240000</v>
      </c>
    </row>
    <row r="55" spans="1:1" ht="15" x14ac:dyDescent="0.3">
      <c r="A55" s="10">
        <v>1805000</v>
      </c>
    </row>
    <row r="56" spans="1:1" ht="15" x14ac:dyDescent="0.3">
      <c r="A56" s="10">
        <v>7549964</v>
      </c>
    </row>
    <row r="57" spans="1:1" ht="15" x14ac:dyDescent="0.3">
      <c r="A57" s="10">
        <v>6149962</v>
      </c>
    </row>
    <row r="58" spans="1:1" ht="15" x14ac:dyDescent="0.3">
      <c r="A58" s="10">
        <f>2600000+6999500</f>
        <v>9599500</v>
      </c>
    </row>
    <row r="59" spans="1:1" ht="15" x14ac:dyDescent="0.3">
      <c r="A59" s="10">
        <f>6138000+7596008</f>
        <v>13734008</v>
      </c>
    </row>
    <row r="60" spans="1:1" ht="15.6" x14ac:dyDescent="0.3">
      <c r="A60" s="163">
        <f>SUM(A61:A62)</f>
        <v>2409000</v>
      </c>
    </row>
    <row r="61" spans="1:1" ht="15" x14ac:dyDescent="0.3">
      <c r="A61" s="10">
        <v>309000</v>
      </c>
    </row>
    <row r="62" spans="1:1" x14ac:dyDescent="0.3">
      <c r="A62" s="36">
        <f>1050000+1050000</f>
        <v>2100000</v>
      </c>
    </row>
    <row r="63" spans="1:1" ht="15.6" x14ac:dyDescent="0.3">
      <c r="A63" s="27">
        <f>SUM(A64:A70)</f>
        <v>91203350</v>
      </c>
    </row>
    <row r="64" spans="1:1" ht="15" x14ac:dyDescent="0.3">
      <c r="A64" s="10">
        <f>4888000+1100000+9120950</f>
        <v>15108950</v>
      </c>
    </row>
    <row r="65" spans="1:1" ht="15" x14ac:dyDescent="0.3">
      <c r="A65" s="10">
        <f>5533750+1205000+852000+6800000</f>
        <v>14390750</v>
      </c>
    </row>
    <row r="66" spans="1:1" ht="15" x14ac:dyDescent="0.3">
      <c r="A66" s="10">
        <f>10000000+4990600+1824000</f>
        <v>16814600</v>
      </c>
    </row>
    <row r="67" spans="1:1" ht="15" x14ac:dyDescent="0.3">
      <c r="A67" s="10">
        <v>147000</v>
      </c>
    </row>
    <row r="68" spans="1:1" ht="15" x14ac:dyDescent="0.3">
      <c r="A68" s="10">
        <f>5550000+18500000</f>
        <v>24050000</v>
      </c>
    </row>
    <row r="69" spans="1:1" ht="15" x14ac:dyDescent="0.3">
      <c r="A69" s="10">
        <v>18227050</v>
      </c>
    </row>
    <row r="70" spans="1:1" ht="15" x14ac:dyDescent="0.3">
      <c r="A70" s="10">
        <f>465000+2000000</f>
        <v>2465000</v>
      </c>
    </row>
    <row r="71" spans="1:1" ht="15.6" x14ac:dyDescent="0.3">
      <c r="A71" s="27">
        <f>SUM(A72:A74)</f>
        <v>27375000</v>
      </c>
    </row>
    <row r="72" spans="1:1" ht="15" x14ac:dyDescent="0.3">
      <c r="A72" s="10">
        <v>1200000</v>
      </c>
    </row>
    <row r="73" spans="1:1" ht="15" x14ac:dyDescent="0.3">
      <c r="A73" s="10">
        <v>0</v>
      </c>
    </row>
    <row r="74" spans="1:1" ht="15" x14ac:dyDescent="0.3">
      <c r="A74" s="10">
        <f>13675000+10500000+2000000</f>
        <v>26175000</v>
      </c>
    </row>
    <row r="75" spans="1:1" ht="15.6" x14ac:dyDescent="0.3">
      <c r="A75" s="29">
        <f>SUM(A76,A80,A84)</f>
        <v>60750000</v>
      </c>
    </row>
    <row r="76" spans="1:1" ht="15" x14ac:dyDescent="0.3">
      <c r="A76" s="22">
        <f>SUM(A77:A79)</f>
        <v>13377500</v>
      </c>
    </row>
    <row r="77" spans="1:1" ht="15" x14ac:dyDescent="0.3">
      <c r="A77" s="10">
        <f>522500+12000000+130000+725000</f>
        <v>13377500</v>
      </c>
    </row>
    <row r="78" spans="1:1" ht="15" x14ac:dyDescent="0.3">
      <c r="A78" s="10">
        <v>0</v>
      </c>
    </row>
    <row r="79" spans="1:1" ht="15" x14ac:dyDescent="0.3">
      <c r="A79" s="10">
        <v>0</v>
      </c>
    </row>
    <row r="80" spans="1:1" ht="15" x14ac:dyDescent="0.3">
      <c r="A80" s="22">
        <f>SUM(A81:A83)</f>
        <v>2205000</v>
      </c>
    </row>
    <row r="81" spans="1:1" ht="15" x14ac:dyDescent="0.3">
      <c r="A81" s="10">
        <f>625000+275000</f>
        <v>900000</v>
      </c>
    </row>
    <row r="82" spans="1:1" ht="15" x14ac:dyDescent="0.3">
      <c r="A82" s="10">
        <v>1305000</v>
      </c>
    </row>
    <row r="83" spans="1:1" ht="15" x14ac:dyDescent="0.3">
      <c r="A83" s="10">
        <v>0</v>
      </c>
    </row>
    <row r="84" spans="1:1" ht="15" x14ac:dyDescent="0.3">
      <c r="A84" s="22">
        <f>SUM(A85:A91)</f>
        <v>45167500</v>
      </c>
    </row>
    <row r="85" spans="1:1" ht="15" x14ac:dyDescent="0.3">
      <c r="A85" s="10">
        <v>12650000</v>
      </c>
    </row>
    <row r="86" spans="1:1" ht="15" x14ac:dyDescent="0.3">
      <c r="A86" s="10">
        <v>400000</v>
      </c>
    </row>
    <row r="87" spans="1:1" ht="15" x14ac:dyDescent="0.3">
      <c r="A87" s="10">
        <f>3285000+1980000</f>
        <v>5265000</v>
      </c>
    </row>
    <row r="88" spans="1:1" ht="15" x14ac:dyDescent="0.3">
      <c r="A88" s="10">
        <v>1640000</v>
      </c>
    </row>
    <row r="89" spans="1:1" ht="15" x14ac:dyDescent="0.3">
      <c r="A89" s="10">
        <f>4997500+6055000</f>
        <v>11052500</v>
      </c>
    </row>
    <row r="90" spans="1:1" ht="15" x14ac:dyDescent="0.3">
      <c r="A90" s="10">
        <v>13525000</v>
      </c>
    </row>
    <row r="91" spans="1:1" ht="15" x14ac:dyDescent="0.3">
      <c r="A91" s="10">
        <v>635000</v>
      </c>
    </row>
    <row r="92" spans="1:1" ht="15.6" x14ac:dyDescent="0.3">
      <c r="A92" s="29">
        <f t="shared" ref="A92" si="0">SUM(A93,A95)</f>
        <v>162000000</v>
      </c>
    </row>
    <row r="93" spans="1:1" ht="15" x14ac:dyDescent="0.3">
      <c r="A93" s="22">
        <f>SUM(A94:A94)</f>
        <v>162000000</v>
      </c>
    </row>
    <row r="94" spans="1:1" ht="15" x14ac:dyDescent="0.3">
      <c r="A94" s="10">
        <f>49200000+46800000+33000000+33000000</f>
        <v>162000000</v>
      </c>
    </row>
    <row r="95" spans="1:1" ht="15" x14ac:dyDescent="0.3">
      <c r="A95" s="22">
        <f>SUM(A96:A97)</f>
        <v>0</v>
      </c>
    </row>
    <row r="96" spans="1:1" ht="15" x14ac:dyDescent="0.3">
      <c r="A96" s="10">
        <v>0</v>
      </c>
    </row>
    <row r="97" spans="1:1" ht="15" x14ac:dyDescent="0.3">
      <c r="A97" s="154">
        <v>0</v>
      </c>
    </row>
    <row r="98" spans="1:1" ht="17.399999999999999" x14ac:dyDescent="0.3">
      <c r="A98" s="157">
        <f>SUM(A1,A75,A92)</f>
        <v>639225062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Budget Consolidé</vt:lpstr>
      <vt:lpstr>Feuil1</vt:lpstr>
      <vt:lpstr>Depenses Etat</vt:lpstr>
      <vt:lpstr>Feuil2</vt:lpstr>
      <vt:lpstr>Feuil3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2026-01-23T20:54:47Z</dcterms:created>
  <dcterms:modified xsi:type="dcterms:W3CDTF">2026-02-01T23:22:23Z</dcterms:modified>
</cp:coreProperties>
</file>